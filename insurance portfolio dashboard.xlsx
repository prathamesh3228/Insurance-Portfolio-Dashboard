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1ce604149e22141/power bi/"/>
    </mc:Choice>
  </mc:AlternateContent>
  <xr:revisionPtr revIDLastSave="0" documentId="8_{8B622CFE-93E7-445E-8190-E4389939DDA8}" xr6:coauthVersionLast="47" xr6:coauthVersionMax="47" xr10:uidLastSave="{00000000-0000-0000-0000-000000000000}"/>
  <bookViews>
    <workbookView xWindow="10" yWindow="10" windowWidth="19180" windowHeight="10060" activeTab="2" xr2:uid="{1028B5B9-8493-459F-AF30-622AE5A77A25}"/>
  </bookViews>
  <sheets>
    <sheet name="Report" sheetId="4" r:id="rId1"/>
    <sheet name="insurance_data" sheetId="2" r:id="rId2"/>
    <sheet name="Dashboard" sheetId="1" r:id="rId3"/>
  </sheets>
  <definedNames>
    <definedName name="_xlchart.v2.0" hidden="1">Report!$H$15:$H$17</definedName>
    <definedName name="_xlchart.v2.1" hidden="1">Report!$I$15:$I$17</definedName>
    <definedName name="_xlcn.WorksheetConnection_Book1insurance_data1" hidden="1">insurance_data[]</definedName>
    <definedName name="ExternalData_1" localSheetId="1" hidden="1">insurance_data!$A$1:$N$501</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s>
  <extLst>
    <ext xmlns:x14="http://schemas.microsoft.com/office/spreadsheetml/2009/9/main" uri="{876F7934-8845-4945-9796-88D515C7AA90}">
      <x14:pivotCaches>
        <pivotCache cacheId="1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surance_data" name="insurance_data" connection="WorksheetConnection_Book1!insuranc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4" l="1"/>
  <c r="R16" i="4"/>
  <c r="Q17" i="4"/>
  <c r="R17" i="4"/>
  <c r="Q18" i="4"/>
  <c r="R18" i="4"/>
  <c r="Q19" i="4"/>
  <c r="R19" i="4"/>
  <c r="R15" i="4"/>
  <c r="Q15" i="4"/>
  <c r="H16" i="4"/>
  <c r="I16" i="4"/>
  <c r="H17" i="4"/>
  <c r="I17" i="4"/>
  <c r="I15" i="4"/>
  <c r="H15" i="4"/>
  <c r="U4" i="4"/>
  <c r="U5" i="4"/>
  <c r="S5" i="4"/>
  <c r="N5" i="4"/>
  <c r="K5" i="4"/>
  <c r="Q4" i="4"/>
  <c r="I5" i="4"/>
  <c r="G4" i="4"/>
  <c r="E5" i="4"/>
  <c r="C5" i="4"/>
  <c r="A5" i="4"/>
  <c r="G5"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8266BB-9AB1-4B09-A8E5-FA4B7FED0FF8}" keepAlive="1" name="Query - insurance_data" description="Connection to the 'insurance_data' query in the workbook." type="5" refreshedVersion="8" background="1" saveData="1">
    <dbPr connection="Provider=Microsoft.Mashup.OleDb.1;Data Source=$Workbook$;Location=insurance_data;Extended Properties=&quot;&quot;" command="SELECT * FROM [insurance_data]"/>
  </connection>
  <connection id="2" xr16:uid="{E0691312-421F-4384-9C22-80738844E8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9A7D6C0-B51C-4976-B007-432B3CD1340C}" name="WorksheetConnection_Book1!insurance_data" type="102" refreshedVersion="8" minRefreshableVersion="5">
    <extLst>
      <ext xmlns:x15="http://schemas.microsoft.com/office/spreadsheetml/2010/11/main" uri="{DE250136-89BD-433C-8126-D09CA5730AF9}">
        <x15:connection id="insurance_data" autoDelete="1">
          <x15:rangePr sourceName="_xlcn.WorksheetConnection_Book1insurance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nsurance_data].[Has_Claim].&amp;[Yes]}"/>
    <s v="{[insurance_data].[Claim_Status].&amp;[Approv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<sst xmlns="http://schemas.openxmlformats.org/spreadsheetml/2006/main" count="4596" uniqueCount="940">
  <si>
    <t>Policy_ID</t>
  </si>
  <si>
    <t>Policy_Date</t>
  </si>
  <si>
    <t>Year</t>
  </si>
  <si>
    <t>Month</t>
  </si>
  <si>
    <t>Policy_Type</t>
  </si>
  <si>
    <t>Region</t>
  </si>
  <si>
    <t>Risk_Level</t>
  </si>
  <si>
    <t>Annual_Premium</t>
  </si>
  <si>
    <t>Claim_Amount</t>
  </si>
  <si>
    <t>Claim_Status</t>
  </si>
  <si>
    <t>Agent_Name</t>
  </si>
  <si>
    <t>Customer_Age</t>
  </si>
  <si>
    <t>Years_As_Customer</t>
  </si>
  <si>
    <t>Has_Claim</t>
  </si>
  <si>
    <t>POL-00001</t>
  </si>
  <si>
    <t>2/18/2024</t>
  </si>
  <si>
    <t>February</t>
  </si>
  <si>
    <t>Home</t>
  </si>
  <si>
    <t>South</t>
  </si>
  <si>
    <t>High</t>
  </si>
  <si>
    <t>Rejected</t>
  </si>
  <si>
    <t>Fatima Al-Hassan</t>
  </si>
  <si>
    <t>Yes</t>
  </si>
  <si>
    <t>POL-00002</t>
  </si>
  <si>
    <t>5/16/2024</t>
  </si>
  <si>
    <t>May</t>
  </si>
  <si>
    <t>Health</t>
  </si>
  <si>
    <t>West</t>
  </si>
  <si>
    <t>No Claim</t>
  </si>
  <si>
    <t>Chukwudi Eze</t>
  </si>
  <si>
    <t>No</t>
  </si>
  <si>
    <t>POL-00003</t>
  </si>
  <si>
    <t>8/6/2023</t>
  </si>
  <si>
    <t>August</t>
  </si>
  <si>
    <t>Approved</t>
  </si>
  <si>
    <t>POL-00004</t>
  </si>
  <si>
    <t>10/3/2023</t>
  </si>
  <si>
    <t>October</t>
  </si>
  <si>
    <t>Travel</t>
  </si>
  <si>
    <t>North</t>
  </si>
  <si>
    <t>Medium</t>
  </si>
  <si>
    <t>POL-00005</t>
  </si>
  <si>
    <t>6/15/2024</t>
  </si>
  <si>
    <t>June</t>
  </si>
  <si>
    <t>Central</t>
  </si>
  <si>
    <t>Adaeze Okonkwo</t>
  </si>
  <si>
    <t>POL-00006</t>
  </si>
  <si>
    <t>11/7/2024</t>
  </si>
  <si>
    <t>November</t>
  </si>
  <si>
    <t>Low</t>
  </si>
  <si>
    <t>POL-00007</t>
  </si>
  <si>
    <t>3/11/2024</t>
  </si>
  <si>
    <t>March</t>
  </si>
  <si>
    <t>Auto</t>
  </si>
  <si>
    <t>POL-00008</t>
  </si>
  <si>
    <t>7/12/2024</t>
  </si>
  <si>
    <t>July</t>
  </si>
  <si>
    <t>Tunde Fashola</t>
  </si>
  <si>
    <t>POL-00009</t>
  </si>
  <si>
    <t>4/9/2023</t>
  </si>
  <si>
    <t>April</t>
  </si>
  <si>
    <t>POL-00010</t>
  </si>
  <si>
    <t>5/1/2023</t>
  </si>
  <si>
    <t>Life</t>
  </si>
  <si>
    <t>Emeka Nwachukwu</t>
  </si>
  <si>
    <t>POL-00011</t>
  </si>
  <si>
    <t>1/31/2024</t>
  </si>
  <si>
    <t>January</t>
  </si>
  <si>
    <t>East</t>
  </si>
  <si>
    <t>POL-00012</t>
  </si>
  <si>
    <t>10/31/2024</t>
  </si>
  <si>
    <t>Yusuf Bello</t>
  </si>
  <si>
    <t>POL-00013</t>
  </si>
  <si>
    <t>9/13/2023</t>
  </si>
  <si>
    <t>September</t>
  </si>
  <si>
    <t>POL-00014</t>
  </si>
  <si>
    <t>6/30/2024</t>
  </si>
  <si>
    <t>Ngozi Dike</t>
  </si>
  <si>
    <t>POL-00015</t>
  </si>
  <si>
    <t>10/17/2023</t>
  </si>
  <si>
    <t>POL-00016</t>
  </si>
  <si>
    <t>11/14/2024</t>
  </si>
  <si>
    <t>Amaka Obi</t>
  </si>
  <si>
    <t>POL-00017</t>
  </si>
  <si>
    <t>12/20/2023</t>
  </si>
  <si>
    <t>December</t>
  </si>
  <si>
    <t>POL-00018</t>
  </si>
  <si>
    <t>9/28/2023</t>
  </si>
  <si>
    <t>Pending</t>
  </si>
  <si>
    <t>POL-00019</t>
  </si>
  <si>
    <t>1/14/2024</t>
  </si>
  <si>
    <t>POL-00020</t>
  </si>
  <si>
    <t>5/14/2023</t>
  </si>
  <si>
    <t>POL-00021</t>
  </si>
  <si>
    <t>10/2/2024</t>
  </si>
  <si>
    <t>POL-00022</t>
  </si>
  <si>
    <t>5/20/2024</t>
  </si>
  <si>
    <t>POL-00023</t>
  </si>
  <si>
    <t>8/19/2024</t>
  </si>
  <si>
    <t>POL-00024</t>
  </si>
  <si>
    <t>2/18/2023</t>
  </si>
  <si>
    <t>POL-00025</t>
  </si>
  <si>
    <t>8/24/2023</t>
  </si>
  <si>
    <t>POL-00026</t>
  </si>
  <si>
    <t>7/22/2023</t>
  </si>
  <si>
    <t>POL-00027</t>
  </si>
  <si>
    <t>11/25/2024</t>
  </si>
  <si>
    <t>POL-00028</t>
  </si>
  <si>
    <t>9/14/2024</t>
  </si>
  <si>
    <t>POL-00029</t>
  </si>
  <si>
    <t>11/11/2023</t>
  </si>
  <si>
    <t>POL-00030</t>
  </si>
  <si>
    <t>1/21/2024</t>
  </si>
  <si>
    <t>POL-00031</t>
  </si>
  <si>
    <t>6/20/2023</t>
  </si>
  <si>
    <t>POL-00032</t>
  </si>
  <si>
    <t>6/12/2023</t>
  </si>
  <si>
    <t>POL-00033</t>
  </si>
  <si>
    <t>2/11/2023</t>
  </si>
  <si>
    <t>POL-00034</t>
  </si>
  <si>
    <t>POL-00035</t>
  </si>
  <si>
    <t>6/28/2023</t>
  </si>
  <si>
    <t>POL-00036</t>
  </si>
  <si>
    <t>7/4/2023</t>
  </si>
  <si>
    <t>POL-00037</t>
  </si>
  <si>
    <t>2/6/2023</t>
  </si>
  <si>
    <t>POL-00038</t>
  </si>
  <si>
    <t>8/9/2024</t>
  </si>
  <si>
    <t>POL-00039</t>
  </si>
  <si>
    <t>6/21/2023</t>
  </si>
  <si>
    <t>POL-00040</t>
  </si>
  <si>
    <t>3/7/2024</t>
  </si>
  <si>
    <t>POL-00041</t>
  </si>
  <si>
    <t>3/5/2023</t>
  </si>
  <si>
    <t>POL-00042</t>
  </si>
  <si>
    <t>1/11/2023</t>
  </si>
  <si>
    <t>POL-00043</t>
  </si>
  <si>
    <t>1/28/2023</t>
  </si>
  <si>
    <t>POL-00044</t>
  </si>
  <si>
    <t>1/23/2023</t>
  </si>
  <si>
    <t>POL-00045</t>
  </si>
  <si>
    <t>POL-00046</t>
  </si>
  <si>
    <t>12/30/2024</t>
  </si>
  <si>
    <t>POL-00047</t>
  </si>
  <si>
    <t>POL-00048</t>
  </si>
  <si>
    <t>3/28/2024</t>
  </si>
  <si>
    <t>POL-00049</t>
  </si>
  <si>
    <t>2/12/2024</t>
  </si>
  <si>
    <t>POL-00050</t>
  </si>
  <si>
    <t>12/14/2024</t>
  </si>
  <si>
    <t>POL-00051</t>
  </si>
  <si>
    <t>11/9/2024</t>
  </si>
  <si>
    <t>POL-00052</t>
  </si>
  <si>
    <t>5/19/2023</t>
  </si>
  <si>
    <t>POL-00053</t>
  </si>
  <si>
    <t>POL-00054</t>
  </si>
  <si>
    <t>5/7/2023</t>
  </si>
  <si>
    <t>POL-00055</t>
  </si>
  <si>
    <t>4/3/2024</t>
  </si>
  <si>
    <t>POL-00056</t>
  </si>
  <si>
    <t>3/14/2023</t>
  </si>
  <si>
    <t>POL-00057</t>
  </si>
  <si>
    <t>4/13/2024</t>
  </si>
  <si>
    <t>POL-00058</t>
  </si>
  <si>
    <t>7/22/2024</t>
  </si>
  <si>
    <t>POL-00059</t>
  </si>
  <si>
    <t>2/19/2024</t>
  </si>
  <si>
    <t>POL-00060</t>
  </si>
  <si>
    <t>7/20/2024</t>
  </si>
  <si>
    <t>POL-00061</t>
  </si>
  <si>
    <t>7/24/2024</t>
  </si>
  <si>
    <t>POL-00062</t>
  </si>
  <si>
    <t>5/12/2023</t>
  </si>
  <si>
    <t>POL-00063</t>
  </si>
  <si>
    <t>POL-00064</t>
  </si>
  <si>
    <t>10/12/2024</t>
  </si>
  <si>
    <t>POL-00065</t>
  </si>
  <si>
    <t>4/18/2023</t>
  </si>
  <si>
    <t>POL-00066</t>
  </si>
  <si>
    <t>10/24/2023</t>
  </si>
  <si>
    <t>POL-00067</t>
  </si>
  <si>
    <t>12/19/2024</t>
  </si>
  <si>
    <t>POL-00068</t>
  </si>
  <si>
    <t>5/18/2024</t>
  </si>
  <si>
    <t>POL-00069</t>
  </si>
  <si>
    <t>7/28/2024</t>
  </si>
  <si>
    <t>POL-00070</t>
  </si>
  <si>
    <t>1/16/2023</t>
  </si>
  <si>
    <t>POL-00071</t>
  </si>
  <si>
    <t>2/15/2023</t>
  </si>
  <si>
    <t>POL-00072</t>
  </si>
  <si>
    <t>2/3/2023</t>
  </si>
  <si>
    <t>POL-00073</t>
  </si>
  <si>
    <t>5/20/2023</t>
  </si>
  <si>
    <t>POL-00074</t>
  </si>
  <si>
    <t>POL-00075</t>
  </si>
  <si>
    <t>6/26/2023</t>
  </si>
  <si>
    <t>POL-00076</t>
  </si>
  <si>
    <t>6/13/2023</t>
  </si>
  <si>
    <t>POL-00077</t>
  </si>
  <si>
    <t>4/20/2024</t>
  </si>
  <si>
    <t>POL-00078</t>
  </si>
  <si>
    <t>6/7/2023</t>
  </si>
  <si>
    <t>POL-00079</t>
  </si>
  <si>
    <t>4/2/2023</t>
  </si>
  <si>
    <t>POL-00080</t>
  </si>
  <si>
    <t>3/24/2023</t>
  </si>
  <si>
    <t>POL-00081</t>
  </si>
  <si>
    <t>9/26/2023</t>
  </si>
  <si>
    <t>POL-00082</t>
  </si>
  <si>
    <t>9/2/2024</t>
  </si>
  <si>
    <t>POL-00083</t>
  </si>
  <si>
    <t>7/7/2023</t>
  </si>
  <si>
    <t>POL-00084</t>
  </si>
  <si>
    <t>5/10/2024</t>
  </si>
  <si>
    <t>POL-00085</t>
  </si>
  <si>
    <t>7/14/2024</t>
  </si>
  <si>
    <t>POL-00086</t>
  </si>
  <si>
    <t>9/17/2023</t>
  </si>
  <si>
    <t>POL-00087</t>
  </si>
  <si>
    <t>8/13/2023</t>
  </si>
  <si>
    <t>POL-00088</t>
  </si>
  <si>
    <t>10/23/2024</t>
  </si>
  <si>
    <t>POL-00089</t>
  </si>
  <si>
    <t>POL-00090</t>
  </si>
  <si>
    <t>4/3/2023</t>
  </si>
  <si>
    <t>POL-00091</t>
  </si>
  <si>
    <t>1/4/2023</t>
  </si>
  <si>
    <t>POL-00092</t>
  </si>
  <si>
    <t>9/29/2023</t>
  </si>
  <si>
    <t>POL-00093</t>
  </si>
  <si>
    <t>3/31/2023</t>
  </si>
  <si>
    <t>POL-00094</t>
  </si>
  <si>
    <t>7/29/2024</t>
  </si>
  <si>
    <t>POL-00095</t>
  </si>
  <si>
    <t>11/17/2024</t>
  </si>
  <si>
    <t>POL-00096</t>
  </si>
  <si>
    <t>9/2/2023</t>
  </si>
  <si>
    <t>POL-00097</t>
  </si>
  <si>
    <t>6/30/2023</t>
  </si>
  <si>
    <t>POL-00098</t>
  </si>
  <si>
    <t>6/5/2024</t>
  </si>
  <si>
    <t>POL-00099</t>
  </si>
  <si>
    <t>7/30/2023</t>
  </si>
  <si>
    <t>POL-00100</t>
  </si>
  <si>
    <t>POL-00101</t>
  </si>
  <si>
    <t>POL-00102</t>
  </si>
  <si>
    <t>11/25/2023</t>
  </si>
  <si>
    <t>POL-00103</t>
  </si>
  <si>
    <t>10/29/2024</t>
  </si>
  <si>
    <t>POL-00104</t>
  </si>
  <si>
    <t>POL-00105</t>
  </si>
  <si>
    <t>9/5/2023</t>
  </si>
  <si>
    <t>POL-00106</t>
  </si>
  <si>
    <t>9/26/2024</t>
  </si>
  <si>
    <t>POL-00107</t>
  </si>
  <si>
    <t>12/19/2023</t>
  </si>
  <si>
    <t>POL-00108</t>
  </si>
  <si>
    <t>6/20/2024</t>
  </si>
  <si>
    <t>POL-00109</t>
  </si>
  <si>
    <t>POL-00110</t>
  </si>
  <si>
    <t>6/22/2023</t>
  </si>
  <si>
    <t>POL-00111</t>
  </si>
  <si>
    <t>5/9/2023</t>
  </si>
  <si>
    <t>POL-00112</t>
  </si>
  <si>
    <t>9/29/2024</t>
  </si>
  <si>
    <t>POL-00113</t>
  </si>
  <si>
    <t>5/11/2023</t>
  </si>
  <si>
    <t>POL-00114</t>
  </si>
  <si>
    <t>7/6/2023</t>
  </si>
  <si>
    <t>POL-00115</t>
  </si>
  <si>
    <t>POL-00116</t>
  </si>
  <si>
    <t>POL-00117</t>
  </si>
  <si>
    <t>12/24/2024</t>
  </si>
  <si>
    <t>POL-00118</t>
  </si>
  <si>
    <t>1/27/2024</t>
  </si>
  <si>
    <t>POL-00119</t>
  </si>
  <si>
    <t>7/8/2023</t>
  </si>
  <si>
    <t>POL-00120</t>
  </si>
  <si>
    <t>5/28/2023</t>
  </si>
  <si>
    <t>POL-00121</t>
  </si>
  <si>
    <t>7/27/2024</t>
  </si>
  <si>
    <t>POL-00122</t>
  </si>
  <si>
    <t>5/26/2023</t>
  </si>
  <si>
    <t>POL-00123</t>
  </si>
  <si>
    <t>9/27/2024</t>
  </si>
  <si>
    <t>POL-00124</t>
  </si>
  <si>
    <t>3/13/2024</t>
  </si>
  <si>
    <t>POL-00125</t>
  </si>
  <si>
    <t>5/6/2024</t>
  </si>
  <si>
    <t>POL-00126</t>
  </si>
  <si>
    <t>10/26/2024</t>
  </si>
  <si>
    <t>POL-00127</t>
  </si>
  <si>
    <t>5/5/2024</t>
  </si>
  <si>
    <t>POL-00128</t>
  </si>
  <si>
    <t>11/19/2023</t>
  </si>
  <si>
    <t>POL-00129</t>
  </si>
  <si>
    <t>6/11/2023</t>
  </si>
  <si>
    <t>POL-00130</t>
  </si>
  <si>
    <t>POL-00131</t>
  </si>
  <si>
    <t>POL-00132</t>
  </si>
  <si>
    <t>6/26/2024</t>
  </si>
  <si>
    <t>POL-00133</t>
  </si>
  <si>
    <t>POL-00134</t>
  </si>
  <si>
    <t>1/22/2023</t>
  </si>
  <si>
    <t>POL-00135</t>
  </si>
  <si>
    <t>2/23/2023</t>
  </si>
  <si>
    <t>POL-00136</t>
  </si>
  <si>
    <t>1/16/2024</t>
  </si>
  <si>
    <t>POL-00137</t>
  </si>
  <si>
    <t>9/21/2023</t>
  </si>
  <si>
    <t>POL-00138</t>
  </si>
  <si>
    <t>6/18/2024</t>
  </si>
  <si>
    <t>POL-00139</t>
  </si>
  <si>
    <t>POL-00140</t>
  </si>
  <si>
    <t>10/19/2024</t>
  </si>
  <si>
    <t>POL-00141</t>
  </si>
  <si>
    <t>6/22/2024</t>
  </si>
  <si>
    <t>POL-00142</t>
  </si>
  <si>
    <t>8/26/2024</t>
  </si>
  <si>
    <t>POL-00143</t>
  </si>
  <si>
    <t>12/14/2023</t>
  </si>
  <si>
    <t>POL-00144</t>
  </si>
  <si>
    <t>8/21/2024</t>
  </si>
  <si>
    <t>POL-00145</t>
  </si>
  <si>
    <t>7/17/2023</t>
  </si>
  <si>
    <t>POL-00146</t>
  </si>
  <si>
    <t>4/20/2023</t>
  </si>
  <si>
    <t>POL-00147</t>
  </si>
  <si>
    <t>POL-00148</t>
  </si>
  <si>
    <t>POL-00149</t>
  </si>
  <si>
    <t>9/25/2023</t>
  </si>
  <si>
    <t>POL-00150</t>
  </si>
  <si>
    <t>1/17/2024</t>
  </si>
  <si>
    <t>POL-00151</t>
  </si>
  <si>
    <t>10/29/2023</t>
  </si>
  <si>
    <t>POL-00152</t>
  </si>
  <si>
    <t>5/6/2023</t>
  </si>
  <si>
    <t>POL-00153</t>
  </si>
  <si>
    <t>1/29/2023</t>
  </si>
  <si>
    <t>POL-00154</t>
  </si>
  <si>
    <t>8/18/2024</t>
  </si>
  <si>
    <t>POL-00155</t>
  </si>
  <si>
    <t>7/16/2023</t>
  </si>
  <si>
    <t>POL-00156</t>
  </si>
  <si>
    <t>4/28/2023</t>
  </si>
  <si>
    <t>POL-00157</t>
  </si>
  <si>
    <t>3/30/2023</t>
  </si>
  <si>
    <t>POL-00158</t>
  </si>
  <si>
    <t>12/23/2023</t>
  </si>
  <si>
    <t>POL-00159</t>
  </si>
  <si>
    <t>5/4/2023</t>
  </si>
  <si>
    <t>POL-00160</t>
  </si>
  <si>
    <t>POL-00161</t>
  </si>
  <si>
    <t>POL-00162</t>
  </si>
  <si>
    <t>2/19/2023</t>
  </si>
  <si>
    <t>POL-00163</t>
  </si>
  <si>
    <t>POL-00164</t>
  </si>
  <si>
    <t>10/13/2024</t>
  </si>
  <si>
    <t>POL-00165</t>
  </si>
  <si>
    <t>4/25/2023</t>
  </si>
  <si>
    <t>POL-00166</t>
  </si>
  <si>
    <t>2/6/2024</t>
  </si>
  <si>
    <t>POL-00167</t>
  </si>
  <si>
    <t>POL-00168</t>
  </si>
  <si>
    <t>1/20/2024</t>
  </si>
  <si>
    <t>POL-00169</t>
  </si>
  <si>
    <t>1/15/2023</t>
  </si>
  <si>
    <t>POL-00170</t>
  </si>
  <si>
    <t>POL-00171</t>
  </si>
  <si>
    <t>2/16/2024</t>
  </si>
  <si>
    <t>POL-00172</t>
  </si>
  <si>
    <t>9/11/2024</t>
  </si>
  <si>
    <t>POL-00173</t>
  </si>
  <si>
    <t>8/2/2023</t>
  </si>
  <si>
    <t>POL-00174</t>
  </si>
  <si>
    <t>2/26/2023</t>
  </si>
  <si>
    <t>POL-00175</t>
  </si>
  <si>
    <t>1/24/2023</t>
  </si>
  <si>
    <t>POL-00176</t>
  </si>
  <si>
    <t>POL-00177</t>
  </si>
  <si>
    <t>POL-00178</t>
  </si>
  <si>
    <t>POL-00179</t>
  </si>
  <si>
    <t>3/17/2023</t>
  </si>
  <si>
    <t>POL-00180</t>
  </si>
  <si>
    <t>POL-00181</t>
  </si>
  <si>
    <t>4/26/2024</t>
  </si>
  <si>
    <t>POL-00182</t>
  </si>
  <si>
    <t>8/23/2024</t>
  </si>
  <si>
    <t>POL-00183</t>
  </si>
  <si>
    <t>POL-00184</t>
  </si>
  <si>
    <t>2/5/2024</t>
  </si>
  <si>
    <t>POL-00185</t>
  </si>
  <si>
    <t>7/5/2024</t>
  </si>
  <si>
    <t>POL-00186</t>
  </si>
  <si>
    <t>4/24/2023</t>
  </si>
  <si>
    <t>POL-00187</t>
  </si>
  <si>
    <t>10/1/2024</t>
  </si>
  <si>
    <t>POL-00188</t>
  </si>
  <si>
    <t>2/9/2024</t>
  </si>
  <si>
    <t>POL-00189</t>
  </si>
  <si>
    <t>2/25/2023</t>
  </si>
  <si>
    <t>POL-00190</t>
  </si>
  <si>
    <t>4/6/2023</t>
  </si>
  <si>
    <t>POL-00191</t>
  </si>
  <si>
    <t>10/30/2023</t>
  </si>
  <si>
    <t>POL-00192</t>
  </si>
  <si>
    <t>7/19/2023</t>
  </si>
  <si>
    <t>POL-00193</t>
  </si>
  <si>
    <t>9/8/2023</t>
  </si>
  <si>
    <t>POL-00194</t>
  </si>
  <si>
    <t>8/31/2023</t>
  </si>
  <si>
    <t>POL-00195</t>
  </si>
  <si>
    <t>4/27/2024</t>
  </si>
  <si>
    <t>POL-00196</t>
  </si>
  <si>
    <t>7/12/2023</t>
  </si>
  <si>
    <t>POL-00197</t>
  </si>
  <si>
    <t>6/19/2024</t>
  </si>
  <si>
    <t>POL-00198</t>
  </si>
  <si>
    <t>8/15/2023</t>
  </si>
  <si>
    <t>POL-00199</t>
  </si>
  <si>
    <t>4/14/2023</t>
  </si>
  <si>
    <t>POL-00200</t>
  </si>
  <si>
    <t>8/30/2024</t>
  </si>
  <si>
    <t>POL-00201</t>
  </si>
  <si>
    <t>8/27/2023</t>
  </si>
  <si>
    <t>POL-00202</t>
  </si>
  <si>
    <t>1/1/2024</t>
  </si>
  <si>
    <t>POL-00203</t>
  </si>
  <si>
    <t>4/6/2024</t>
  </si>
  <si>
    <t>POL-00204</t>
  </si>
  <si>
    <t>2/20/2024</t>
  </si>
  <si>
    <t>POL-00205</t>
  </si>
  <si>
    <t>POL-00206</t>
  </si>
  <si>
    <t>11/24/2023</t>
  </si>
  <si>
    <t>POL-00207</t>
  </si>
  <si>
    <t>8/19/2023</t>
  </si>
  <si>
    <t>POL-00208</t>
  </si>
  <si>
    <t>POL-00209</t>
  </si>
  <si>
    <t>6/1/2023</t>
  </si>
  <si>
    <t>POL-00210</t>
  </si>
  <si>
    <t>3/3/2024</t>
  </si>
  <si>
    <t>POL-00211</t>
  </si>
  <si>
    <t>4/26/2023</t>
  </si>
  <si>
    <t>POL-00212</t>
  </si>
  <si>
    <t>12/26/2024</t>
  </si>
  <si>
    <t>POL-00213</t>
  </si>
  <si>
    <t>6/14/2023</t>
  </si>
  <si>
    <t>POL-00214</t>
  </si>
  <si>
    <t>10/11/2024</t>
  </si>
  <si>
    <t>POL-00215</t>
  </si>
  <si>
    <t>POL-00216</t>
  </si>
  <si>
    <t>10/30/2024</t>
  </si>
  <si>
    <t>POL-00217</t>
  </si>
  <si>
    <t>5/14/2024</t>
  </si>
  <si>
    <t>POL-00218</t>
  </si>
  <si>
    <t>POL-00219</t>
  </si>
  <si>
    <t>POL-00220</t>
  </si>
  <si>
    <t>10/15/2023</t>
  </si>
  <si>
    <t>POL-00221</t>
  </si>
  <si>
    <t>12/3/2024</t>
  </si>
  <si>
    <t>POL-00222</t>
  </si>
  <si>
    <t>7/28/2023</t>
  </si>
  <si>
    <t>POL-00223</t>
  </si>
  <si>
    <t>4/30/2023</t>
  </si>
  <si>
    <t>POL-00224</t>
  </si>
  <si>
    <t>1/2/2024</t>
  </si>
  <si>
    <t>POL-00225</t>
  </si>
  <si>
    <t>1/21/2023</t>
  </si>
  <si>
    <t>POL-00226</t>
  </si>
  <si>
    <t>11/12/2024</t>
  </si>
  <si>
    <t>POL-00227</t>
  </si>
  <si>
    <t>11/22/2024</t>
  </si>
  <si>
    <t>POL-00228</t>
  </si>
  <si>
    <t>2/21/2023</t>
  </si>
  <si>
    <t>POL-00229</t>
  </si>
  <si>
    <t>3/22/2024</t>
  </si>
  <si>
    <t>POL-00230</t>
  </si>
  <si>
    <t>3/15/2023</t>
  </si>
  <si>
    <t>POL-00231</t>
  </si>
  <si>
    <t>2/17/2024</t>
  </si>
  <si>
    <t>POL-00232</t>
  </si>
  <si>
    <t>8/30/2023</t>
  </si>
  <si>
    <t>POL-00233</t>
  </si>
  <si>
    <t>POL-00234</t>
  </si>
  <si>
    <t>1/7/2024</t>
  </si>
  <si>
    <t>POL-00235</t>
  </si>
  <si>
    <t>3/18/2023</t>
  </si>
  <si>
    <t>POL-00236</t>
  </si>
  <si>
    <t>POL-00237</t>
  </si>
  <si>
    <t>8/16/2024</t>
  </si>
  <si>
    <t>POL-00238</t>
  </si>
  <si>
    <t>POL-00239</t>
  </si>
  <si>
    <t>5/12/2024</t>
  </si>
  <si>
    <t>POL-00240</t>
  </si>
  <si>
    <t>1/9/2024</t>
  </si>
  <si>
    <t>POL-00241</t>
  </si>
  <si>
    <t>9/20/2024</t>
  </si>
  <si>
    <t>POL-00242</t>
  </si>
  <si>
    <t>1/24/2024</t>
  </si>
  <si>
    <t>POL-00243</t>
  </si>
  <si>
    <t>3/27/2023</t>
  </si>
  <si>
    <t>POL-00244</t>
  </si>
  <si>
    <t>POL-00245</t>
  </si>
  <si>
    <t>10/18/2023</t>
  </si>
  <si>
    <t>POL-00246</t>
  </si>
  <si>
    <t>8/6/2024</t>
  </si>
  <si>
    <t>POL-00247</t>
  </si>
  <si>
    <t>7/11/2024</t>
  </si>
  <si>
    <t>POL-00248</t>
  </si>
  <si>
    <t>POL-00249</t>
  </si>
  <si>
    <t>12/13/2024</t>
  </si>
  <si>
    <t>POL-00250</t>
  </si>
  <si>
    <t>POL-00251</t>
  </si>
  <si>
    <t>6/23/2024</t>
  </si>
  <si>
    <t>POL-00252</t>
  </si>
  <si>
    <t>POL-00253</t>
  </si>
  <si>
    <t>1/22/2024</t>
  </si>
  <si>
    <t>POL-00254</t>
  </si>
  <si>
    <t>11/21/2023</t>
  </si>
  <si>
    <t>POL-00255</t>
  </si>
  <si>
    <t>POL-00256</t>
  </si>
  <si>
    <t>1/13/2024</t>
  </si>
  <si>
    <t>POL-00257</t>
  </si>
  <si>
    <t>5/10/2023</t>
  </si>
  <si>
    <t>POL-00258</t>
  </si>
  <si>
    <t>2/22/2024</t>
  </si>
  <si>
    <t>POL-00259</t>
  </si>
  <si>
    <t>POL-00260</t>
  </si>
  <si>
    <t>12/12/2024</t>
  </si>
  <si>
    <t>POL-00261</t>
  </si>
  <si>
    <t>9/5/2024</t>
  </si>
  <si>
    <t>POL-00262</t>
  </si>
  <si>
    <t>12/6/2024</t>
  </si>
  <si>
    <t>POL-00263</t>
  </si>
  <si>
    <t>7/23/2023</t>
  </si>
  <si>
    <t>POL-00264</t>
  </si>
  <si>
    <t>2/16/2023</t>
  </si>
  <si>
    <t>POL-00265</t>
  </si>
  <si>
    <t>POL-00266</t>
  </si>
  <si>
    <t>6/8/2024</t>
  </si>
  <si>
    <t>POL-00267</t>
  </si>
  <si>
    <t>1/10/2023</t>
  </si>
  <si>
    <t>POL-00268</t>
  </si>
  <si>
    <t>3/31/2024</t>
  </si>
  <si>
    <t>POL-00269</t>
  </si>
  <si>
    <t>10/25/2023</t>
  </si>
  <si>
    <t>POL-00270</t>
  </si>
  <si>
    <t>POL-00271</t>
  </si>
  <si>
    <t>12/29/2023</t>
  </si>
  <si>
    <t>POL-00272</t>
  </si>
  <si>
    <t>10/20/2024</t>
  </si>
  <si>
    <t>POL-00273</t>
  </si>
  <si>
    <t>2/25/2024</t>
  </si>
  <si>
    <t>POL-00274</t>
  </si>
  <si>
    <t>1/12/2024</t>
  </si>
  <si>
    <t>POL-00275</t>
  </si>
  <si>
    <t>POL-00276</t>
  </si>
  <si>
    <t>1/4/2024</t>
  </si>
  <si>
    <t>POL-00277</t>
  </si>
  <si>
    <t>5/22/2024</t>
  </si>
  <si>
    <t>POL-00278</t>
  </si>
  <si>
    <t>7/1/2024</t>
  </si>
  <si>
    <t>POL-00279</t>
  </si>
  <si>
    <t>POL-00280</t>
  </si>
  <si>
    <t>POL-00281</t>
  </si>
  <si>
    <t>POL-00282</t>
  </si>
  <si>
    <t>3/8/2024</t>
  </si>
  <si>
    <t>POL-00283</t>
  </si>
  <si>
    <t>6/17/2024</t>
  </si>
  <si>
    <t>POL-00284</t>
  </si>
  <si>
    <t>8/24/2024</t>
  </si>
  <si>
    <t>POL-00285</t>
  </si>
  <si>
    <t>9/24/2023</t>
  </si>
  <si>
    <t>POL-00286</t>
  </si>
  <si>
    <t>POL-00287</t>
  </si>
  <si>
    <t>11/18/2024</t>
  </si>
  <si>
    <t>POL-00288</t>
  </si>
  <si>
    <t>2/27/2024</t>
  </si>
  <si>
    <t>POL-00289</t>
  </si>
  <si>
    <t>6/16/2024</t>
  </si>
  <si>
    <t>POL-00290</t>
  </si>
  <si>
    <t>5/31/2023</t>
  </si>
  <si>
    <t>POL-00291</t>
  </si>
  <si>
    <t>POL-00292</t>
  </si>
  <si>
    <t>POL-00293</t>
  </si>
  <si>
    <t>1/18/2024</t>
  </si>
  <si>
    <t>POL-00294</t>
  </si>
  <si>
    <t>8/25/2023</t>
  </si>
  <si>
    <t>POL-00295</t>
  </si>
  <si>
    <t>8/17/2023</t>
  </si>
  <si>
    <t>POL-00296</t>
  </si>
  <si>
    <t>3/29/2024</t>
  </si>
  <si>
    <t>POL-00297</t>
  </si>
  <si>
    <t>2/22/2023</t>
  </si>
  <si>
    <t>POL-00298</t>
  </si>
  <si>
    <t>POL-00299</t>
  </si>
  <si>
    <t>6/12/2024</t>
  </si>
  <si>
    <t>POL-00300</t>
  </si>
  <si>
    <t>9/16/2024</t>
  </si>
  <si>
    <t>POL-00301</t>
  </si>
  <si>
    <t>POL-00302</t>
  </si>
  <si>
    <t>9/3/2024</t>
  </si>
  <si>
    <t>POL-00303</t>
  </si>
  <si>
    <t>10/17/2024</t>
  </si>
  <si>
    <t>POL-00304</t>
  </si>
  <si>
    <t>11/15/2024</t>
  </si>
  <si>
    <t>POL-00305</t>
  </si>
  <si>
    <t>POL-00306</t>
  </si>
  <si>
    <t>POL-00307</t>
  </si>
  <si>
    <t>5/8/2024</t>
  </si>
  <si>
    <t>POL-00308</t>
  </si>
  <si>
    <t>3/3/2023</t>
  </si>
  <si>
    <t>POL-00309</t>
  </si>
  <si>
    <t>4/22/2024</t>
  </si>
  <si>
    <t>POL-00310</t>
  </si>
  <si>
    <t>4/8/2024</t>
  </si>
  <si>
    <t>POL-00311</t>
  </si>
  <si>
    <t>7/15/2024</t>
  </si>
  <si>
    <t>POL-00312</t>
  </si>
  <si>
    <t>6/28/2024</t>
  </si>
  <si>
    <t>POL-00313</t>
  </si>
  <si>
    <t>POL-00314</t>
  </si>
  <si>
    <t>POL-00315</t>
  </si>
  <si>
    <t>12/25/2024</t>
  </si>
  <si>
    <t>POL-00316</t>
  </si>
  <si>
    <t>POL-00317</t>
  </si>
  <si>
    <t>6/23/2023</t>
  </si>
  <si>
    <t>POL-00318</t>
  </si>
  <si>
    <t>9/17/2024</t>
  </si>
  <si>
    <t>POL-00319</t>
  </si>
  <si>
    <t>POL-00320</t>
  </si>
  <si>
    <t>8/4/2023</t>
  </si>
  <si>
    <t>POL-00321</t>
  </si>
  <si>
    <t>POL-00322</t>
  </si>
  <si>
    <t>POL-00323</t>
  </si>
  <si>
    <t>10/8/2024</t>
  </si>
  <si>
    <t>POL-00324</t>
  </si>
  <si>
    <t>7/6/2024</t>
  </si>
  <si>
    <t>POL-00325</t>
  </si>
  <si>
    <t>5/4/2024</t>
  </si>
  <si>
    <t>POL-00326</t>
  </si>
  <si>
    <t>11/4/2023</t>
  </si>
  <si>
    <t>POL-00327</t>
  </si>
  <si>
    <t>POL-00328</t>
  </si>
  <si>
    <t>5/3/2023</t>
  </si>
  <si>
    <t>POL-00329</t>
  </si>
  <si>
    <t>POL-00330</t>
  </si>
  <si>
    <t>POL-00331</t>
  </si>
  <si>
    <t>6/19/2023</t>
  </si>
  <si>
    <t>POL-00332</t>
  </si>
  <si>
    <t>POL-00333</t>
  </si>
  <si>
    <t>8/12/2023</t>
  </si>
  <si>
    <t>POL-00334</t>
  </si>
  <si>
    <t>11/1/2023</t>
  </si>
  <si>
    <t>POL-00335</t>
  </si>
  <si>
    <t>5/2/2024</t>
  </si>
  <si>
    <t>POL-00336</t>
  </si>
  <si>
    <t>2/12/2023</t>
  </si>
  <si>
    <t>POL-00337</t>
  </si>
  <si>
    <t>POL-00338</t>
  </si>
  <si>
    <t>POL-00339</t>
  </si>
  <si>
    <t>POL-00340</t>
  </si>
  <si>
    <t>POL-00341</t>
  </si>
  <si>
    <t>11/24/2024</t>
  </si>
  <si>
    <t>POL-00342</t>
  </si>
  <si>
    <t>POL-00343</t>
  </si>
  <si>
    <t>12/1/2023</t>
  </si>
  <si>
    <t>POL-00344</t>
  </si>
  <si>
    <t>POL-00345</t>
  </si>
  <si>
    <t>11/3/2024</t>
  </si>
  <si>
    <t>POL-00346</t>
  </si>
  <si>
    <t>POL-00347</t>
  </si>
  <si>
    <t>4/7/2024</t>
  </si>
  <si>
    <t>POL-00348</t>
  </si>
  <si>
    <t>9/9/2024</t>
  </si>
  <si>
    <t>POL-00349</t>
  </si>
  <si>
    <t>7/26/2024</t>
  </si>
  <si>
    <t>POL-00350</t>
  </si>
  <si>
    <t>11/11/2024</t>
  </si>
  <si>
    <t>POL-00351</t>
  </si>
  <si>
    <t>8/28/2023</t>
  </si>
  <si>
    <t>POL-00352</t>
  </si>
  <si>
    <t>9/30/2024</t>
  </si>
  <si>
    <t>POL-00353</t>
  </si>
  <si>
    <t>3/14/2024</t>
  </si>
  <si>
    <t>POL-00354</t>
  </si>
  <si>
    <t>POL-00355</t>
  </si>
  <si>
    <t>7/27/2023</t>
  </si>
  <si>
    <t>POL-00356</t>
  </si>
  <si>
    <t>12/7/2024</t>
  </si>
  <si>
    <t>POL-00357</t>
  </si>
  <si>
    <t>4/1/2023</t>
  </si>
  <si>
    <t>POL-00358</t>
  </si>
  <si>
    <t>POL-00359</t>
  </si>
  <si>
    <t>POL-00360</t>
  </si>
  <si>
    <t>4/9/2024</t>
  </si>
  <si>
    <t>POL-00361</t>
  </si>
  <si>
    <t>9/22/2023</t>
  </si>
  <si>
    <t>POL-00362</t>
  </si>
  <si>
    <t>7/13/2023</t>
  </si>
  <si>
    <t>POL-00363</t>
  </si>
  <si>
    <t>7/4/2024</t>
  </si>
  <si>
    <t>POL-00364</t>
  </si>
  <si>
    <t>4/23/2023</t>
  </si>
  <si>
    <t>POL-00365</t>
  </si>
  <si>
    <t>1/5/2024</t>
  </si>
  <si>
    <t>POL-00366</t>
  </si>
  <si>
    <t>POL-00367</t>
  </si>
  <si>
    <t>POL-00368</t>
  </si>
  <si>
    <t>POL-00369</t>
  </si>
  <si>
    <t>POL-00370</t>
  </si>
  <si>
    <t>7/21/2023</t>
  </si>
  <si>
    <t>POL-00371</t>
  </si>
  <si>
    <t>9/9/2023</t>
  </si>
  <si>
    <t>POL-00372</t>
  </si>
  <si>
    <t>2/14/2024</t>
  </si>
  <si>
    <t>POL-00373</t>
  </si>
  <si>
    <t>9/13/2024</t>
  </si>
  <si>
    <t>POL-00374</t>
  </si>
  <si>
    <t>11/16/2023</t>
  </si>
  <si>
    <t>POL-00375</t>
  </si>
  <si>
    <t>POL-00376</t>
  </si>
  <si>
    <t>3/4/2024</t>
  </si>
  <si>
    <t>POL-00377</t>
  </si>
  <si>
    <t>2/29/2024</t>
  </si>
  <si>
    <t>POL-00378</t>
  </si>
  <si>
    <t>12/28/2023</t>
  </si>
  <si>
    <t>POL-00379</t>
  </si>
  <si>
    <t>8/1/2024</t>
  </si>
  <si>
    <t>POL-00380</t>
  </si>
  <si>
    <t>10/4/2023</t>
  </si>
  <si>
    <t>POL-00381</t>
  </si>
  <si>
    <t>7/18/2024</t>
  </si>
  <si>
    <t>POL-00382</t>
  </si>
  <si>
    <t>11/1/2024</t>
  </si>
  <si>
    <t>POL-00383</t>
  </si>
  <si>
    <t>6/27/2024</t>
  </si>
  <si>
    <t>POL-00384</t>
  </si>
  <si>
    <t>10/23/2023</t>
  </si>
  <si>
    <t>POL-00385</t>
  </si>
  <si>
    <t>7/16/2024</t>
  </si>
  <si>
    <t>POL-00386</t>
  </si>
  <si>
    <t>2/2/2023</t>
  </si>
  <si>
    <t>POL-00387</t>
  </si>
  <si>
    <t>12/18/2023</t>
  </si>
  <si>
    <t>POL-00388</t>
  </si>
  <si>
    <t>3/28/2023</t>
  </si>
  <si>
    <t>POL-00389</t>
  </si>
  <si>
    <t>6/16/2023</t>
  </si>
  <si>
    <t>POL-00390</t>
  </si>
  <si>
    <t>5/27/2023</t>
  </si>
  <si>
    <t>POL-00391</t>
  </si>
  <si>
    <t>10/6/2023</t>
  </si>
  <si>
    <t>POL-00392</t>
  </si>
  <si>
    <t>1/14/2023</t>
  </si>
  <si>
    <t>POL-00393</t>
  </si>
  <si>
    <t>POL-00394</t>
  </si>
  <si>
    <t>10/25/2024</t>
  </si>
  <si>
    <t>POL-00395</t>
  </si>
  <si>
    <t>4/17/2023</t>
  </si>
  <si>
    <t>POL-00396</t>
  </si>
  <si>
    <t>POL-00397</t>
  </si>
  <si>
    <t>11/27/2023</t>
  </si>
  <si>
    <t>POL-00398</t>
  </si>
  <si>
    <t>POL-00399</t>
  </si>
  <si>
    <t>1/3/2023</t>
  </si>
  <si>
    <t>POL-00400</t>
  </si>
  <si>
    <t>5/15/2023</t>
  </si>
  <si>
    <t>POL-00401</t>
  </si>
  <si>
    <t>8/7/2023</t>
  </si>
  <si>
    <t>POL-00402</t>
  </si>
  <si>
    <t>9/22/2024</t>
  </si>
  <si>
    <t>POL-00403</t>
  </si>
  <si>
    <t>3/16/2023</t>
  </si>
  <si>
    <t>POL-00404</t>
  </si>
  <si>
    <t>POL-00405</t>
  </si>
  <si>
    <t>POL-00406</t>
  </si>
  <si>
    <t>3/30/2024</t>
  </si>
  <si>
    <t>POL-00407</t>
  </si>
  <si>
    <t>5/9/2024</t>
  </si>
  <si>
    <t>POL-00408</t>
  </si>
  <si>
    <t>4/7/2023</t>
  </si>
  <si>
    <t>POL-00409</t>
  </si>
  <si>
    <t>8/21/2023</t>
  </si>
  <si>
    <t>POL-00410</t>
  </si>
  <si>
    <t>3/19/2023</t>
  </si>
  <si>
    <t>POL-00411</t>
  </si>
  <si>
    <t>POL-00412</t>
  </si>
  <si>
    <t>POL-00413</t>
  </si>
  <si>
    <t>POL-00414</t>
  </si>
  <si>
    <t>POL-00415</t>
  </si>
  <si>
    <t>1/31/2023</t>
  </si>
  <si>
    <t>POL-00416</t>
  </si>
  <si>
    <t>POL-00417</t>
  </si>
  <si>
    <t>7/13/2024</t>
  </si>
  <si>
    <t>POL-00418</t>
  </si>
  <si>
    <t>POL-00419</t>
  </si>
  <si>
    <t>POL-00420</t>
  </si>
  <si>
    <t>POL-00421</t>
  </si>
  <si>
    <t>12/16/2024</t>
  </si>
  <si>
    <t>POL-00422</t>
  </si>
  <si>
    <t>POL-00423</t>
  </si>
  <si>
    <t>5/5/2023</t>
  </si>
  <si>
    <t>POL-00424</t>
  </si>
  <si>
    <t>POL-00425</t>
  </si>
  <si>
    <t>POL-00426</t>
  </si>
  <si>
    <t>3/19/2024</t>
  </si>
  <si>
    <t>POL-00427</t>
  </si>
  <si>
    <t>11/6/2023</t>
  </si>
  <si>
    <t>POL-00428</t>
  </si>
  <si>
    <t>12/21/2024</t>
  </si>
  <si>
    <t>POL-00429</t>
  </si>
  <si>
    <t>9/27/2023</t>
  </si>
  <si>
    <t>POL-00430</t>
  </si>
  <si>
    <t>9/19/2023</t>
  </si>
  <si>
    <t>POL-00431</t>
  </si>
  <si>
    <t>POL-00432</t>
  </si>
  <si>
    <t>POL-00433</t>
  </si>
  <si>
    <t>POL-00434</t>
  </si>
  <si>
    <t>2/10/2023</t>
  </si>
  <si>
    <t>POL-00435</t>
  </si>
  <si>
    <t>10/16/2024</t>
  </si>
  <si>
    <t>POL-00436</t>
  </si>
  <si>
    <t>POL-00437</t>
  </si>
  <si>
    <t>POL-00438</t>
  </si>
  <si>
    <t>7/10/2023</t>
  </si>
  <si>
    <t>POL-00439</t>
  </si>
  <si>
    <t>POL-00440</t>
  </si>
  <si>
    <t>POL-00441</t>
  </si>
  <si>
    <t>1/8/2024</t>
  </si>
  <si>
    <t>POL-00442</t>
  </si>
  <si>
    <t>10/31/2023</t>
  </si>
  <si>
    <t>POL-00443</t>
  </si>
  <si>
    <t>4/13/2023</t>
  </si>
  <si>
    <t>POL-00444</t>
  </si>
  <si>
    <t>POL-00445</t>
  </si>
  <si>
    <t>10/15/2024</t>
  </si>
  <si>
    <t>POL-00446</t>
  </si>
  <si>
    <t>1/27/2023</t>
  </si>
  <si>
    <t>POL-00447</t>
  </si>
  <si>
    <t>6/11/2024</t>
  </si>
  <si>
    <t>POL-00448</t>
  </si>
  <si>
    <t>POL-00449</t>
  </si>
  <si>
    <t>POL-00450</t>
  </si>
  <si>
    <t>8/26/2023</t>
  </si>
  <si>
    <t>POL-00451</t>
  </si>
  <si>
    <t>5/15/2024</t>
  </si>
  <si>
    <t>POL-00452</t>
  </si>
  <si>
    <t>8/16/2023</t>
  </si>
  <si>
    <t>POL-00453</t>
  </si>
  <si>
    <t>POL-00454</t>
  </si>
  <si>
    <t>POL-00455</t>
  </si>
  <si>
    <t>10/19/2023</t>
  </si>
  <si>
    <t>POL-00456</t>
  </si>
  <si>
    <t>POL-00457</t>
  </si>
  <si>
    <t>POL-00458</t>
  </si>
  <si>
    <t>6/27/2023</t>
  </si>
  <si>
    <t>POL-00459</t>
  </si>
  <si>
    <t>POL-00460</t>
  </si>
  <si>
    <t>8/3/2024</t>
  </si>
  <si>
    <t>POL-00461</t>
  </si>
  <si>
    <t>9/23/2024</t>
  </si>
  <si>
    <t>POL-00462</t>
  </si>
  <si>
    <t>1/15/2024</t>
  </si>
  <si>
    <t>POL-00463</t>
  </si>
  <si>
    <t>POL-00464</t>
  </si>
  <si>
    <t>POL-00465</t>
  </si>
  <si>
    <t>POL-00466</t>
  </si>
  <si>
    <t>1/11/2024</t>
  </si>
  <si>
    <t>POL-00467</t>
  </si>
  <si>
    <t>POL-00468</t>
  </si>
  <si>
    <t>11/8/2023</t>
  </si>
  <si>
    <t>POL-00469</t>
  </si>
  <si>
    <t>POL-00470</t>
  </si>
  <si>
    <t>POL-00471</t>
  </si>
  <si>
    <t>5/26/2024</t>
  </si>
  <si>
    <t>POL-00472</t>
  </si>
  <si>
    <t>10/5/2024</t>
  </si>
  <si>
    <t>POL-00473</t>
  </si>
  <si>
    <t>POL-00474</t>
  </si>
  <si>
    <t>6/6/2023</t>
  </si>
  <si>
    <t>POL-00475</t>
  </si>
  <si>
    <t>POL-00476</t>
  </si>
  <si>
    <t>2/4/2023</t>
  </si>
  <si>
    <t>POL-00477</t>
  </si>
  <si>
    <t>4/4/2023</t>
  </si>
  <si>
    <t>POL-00478</t>
  </si>
  <si>
    <t>POL-00479</t>
  </si>
  <si>
    <t>POL-00480</t>
  </si>
  <si>
    <t>POL-00481</t>
  </si>
  <si>
    <t>5/13/2024</t>
  </si>
  <si>
    <t>POL-00482</t>
  </si>
  <si>
    <t>POL-00483</t>
  </si>
  <si>
    <t>POL-00484</t>
  </si>
  <si>
    <t>POL-00485</t>
  </si>
  <si>
    <t>8/28/2024</t>
  </si>
  <si>
    <t>POL-00486</t>
  </si>
  <si>
    <t>POL-00487</t>
  </si>
  <si>
    <t>8/4/2024</t>
  </si>
  <si>
    <t>POL-00488</t>
  </si>
  <si>
    <t>10/5/2023</t>
  </si>
  <si>
    <t>POL-00489</t>
  </si>
  <si>
    <t>POL-00490</t>
  </si>
  <si>
    <t>POL-00491</t>
  </si>
  <si>
    <t>POL-00492</t>
  </si>
  <si>
    <t>12/1/2024</t>
  </si>
  <si>
    <t>POL-00493</t>
  </si>
  <si>
    <t>2/3/2024</t>
  </si>
  <si>
    <t>POL-00494</t>
  </si>
  <si>
    <t>10/13/2023</t>
  </si>
  <si>
    <t>POL-00495</t>
  </si>
  <si>
    <t>3/17/2024</t>
  </si>
  <si>
    <t>POL-00496</t>
  </si>
  <si>
    <t>6/24/2023</t>
  </si>
  <si>
    <t>POL-00497</t>
  </si>
  <si>
    <t>7/18/2023</t>
  </si>
  <si>
    <t>POL-00498</t>
  </si>
  <si>
    <t>POL-00499</t>
  </si>
  <si>
    <t>POL-00500</t>
  </si>
  <si>
    <t>1/20/2023</t>
  </si>
  <si>
    <t>Claims Ratio</t>
  </si>
  <si>
    <t>Average of Annual_Premium</t>
  </si>
  <si>
    <t>Row Labels</t>
  </si>
  <si>
    <t>Grand Total</t>
  </si>
  <si>
    <t>Total Policy</t>
  </si>
  <si>
    <t>Total Premium</t>
  </si>
  <si>
    <t>Total Claims paid</t>
  </si>
  <si>
    <t>Approval rate</t>
  </si>
  <si>
    <t>Active Agents</t>
  </si>
  <si>
    <t>policies with cliams</t>
  </si>
  <si>
    <t>Monthly Policies Trend</t>
  </si>
  <si>
    <t>Average Premium</t>
  </si>
  <si>
    <t>Average of Claim_Amount</t>
  </si>
  <si>
    <t>Average Premium vs Average Claim Amount by Policy Type</t>
  </si>
  <si>
    <t>Policy by Risk Type</t>
  </si>
  <si>
    <t>Total Claim by Region</t>
  </si>
  <si>
    <t>Premium by Agent</t>
  </si>
  <si>
    <t>Policies by Claim Status</t>
  </si>
  <si>
    <t>Policies by Claim Occurance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</si>
</sst>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quot;₹&quot;\ * #,##0_ ;_ &quot;₹&quot;\ * \-#,##0_ ;_ &quot;₹&quot;\ * &quot;-&quot;??_ ;_ @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164" fontId="0" fillId="0" borderId="0" xfId="0" applyNumberFormat="1"/>
    <xf numFmtId="9" fontId="0" fillId="0" borderId="0" xfId="1" applyFont="1"/>
    <xf numFmtId="0" fontId="0" fillId="0" borderId="0" xfId="0" applyAlignment="1">
      <alignment horizontal="left"/>
    </xf>
    <xf numFmtId="1" fontId="0" fillId="0" borderId="0" xfId="0" applyNumberFormat="1"/>
    <xf numFmtId="9" fontId="0" fillId="0" borderId="0" xfId="0" applyNumberFormat="1"/>
  </cellXfs>
  <cellStyles count="2">
    <cellStyle name="Normal" xfId="0" builtinId="0"/>
    <cellStyle name="Percent" xfId="1" builtinId="5"/>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quot;₹&quot;\ * #,##0_ ;_ &quot;₹&quot;\ * \-#,##0_ ;_ &quot;₹&quot;\ * &quot;-&quot;??_ ;_ @_ "/>
    </dxf>
    <dxf>
      <numFmt numFmtId="164" formatCode="_ &quot;₹&quot;\ * #,##0_ ;_ &quot;₹&quot;\ * \-#,##0_ ;_ &quot;₹&quot;\ * &quot;-&quot;??_ ;_ @_ "/>
    </dxf>
    <dxf>
      <numFmt numFmtId="1" formatCode="0"/>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i val="0"/>
        <color theme="0"/>
      </font>
      <fill>
        <patternFill>
          <bgColor theme="4" tint="-0.499984740745262"/>
        </patternFill>
      </fill>
      <border>
        <left style="thin">
          <color auto="1"/>
        </left>
        <right style="thin">
          <color auto="1"/>
        </right>
        <top style="thin">
          <color auto="1"/>
        </top>
        <bottom style="thin">
          <color auto="1"/>
        </bottom>
      </border>
    </dxf>
    <dxf>
      <font>
        <b/>
        <i val="0"/>
        <color theme="0"/>
      </font>
      <fill>
        <patternFill>
          <bgColor rgb="FF002060"/>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1" xr9:uid="{F333AB6A-7FDF-45A8-A81A-82115A86D1F8}">
      <tableStyleElement type="wholeTable" dxfId="17"/>
    </tableStyle>
    <tableStyle name="Slicer Style 2" pivot="0" table="0" count="1" xr9:uid="{1915721C-349F-409B-9357-039065B192A2}">
      <tableStyleElement type="wholeTable" dxfId="16"/>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portfolio dashboard.xlsx]Report!PivotTable16</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Monthly</a:t>
            </a:r>
            <a:r>
              <a:rPr lang="en-US" b="1" baseline="0">
                <a:solidFill>
                  <a:srgbClr val="002060"/>
                </a:solidFill>
              </a:rPr>
              <a:t> Policy Trend</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Report!$B$8</c:f>
              <c:strCache>
                <c:ptCount val="1"/>
                <c:pt idx="0">
                  <c:v>Total</c:v>
                </c:pt>
              </c:strCache>
            </c:strRef>
          </c:tx>
          <c:spPr>
            <a:ln w="2857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Report!$B$9:$B$21</c:f>
              <c:numCache>
                <c:formatCode>General</c:formatCode>
                <c:ptCount val="12"/>
                <c:pt idx="0">
                  <c:v>30</c:v>
                </c:pt>
                <c:pt idx="1">
                  <c:v>24</c:v>
                </c:pt>
                <c:pt idx="2">
                  <c:v>18</c:v>
                </c:pt>
                <c:pt idx="3">
                  <c:v>14</c:v>
                </c:pt>
                <c:pt idx="4">
                  <c:v>19</c:v>
                </c:pt>
                <c:pt idx="5">
                  <c:v>23</c:v>
                </c:pt>
                <c:pt idx="6">
                  <c:v>22</c:v>
                </c:pt>
                <c:pt idx="7">
                  <c:v>18</c:v>
                </c:pt>
                <c:pt idx="8">
                  <c:v>20</c:v>
                </c:pt>
                <c:pt idx="9">
                  <c:v>27</c:v>
                </c:pt>
                <c:pt idx="10">
                  <c:v>19</c:v>
                </c:pt>
                <c:pt idx="11">
                  <c:v>18</c:v>
                </c:pt>
              </c:numCache>
            </c:numRef>
          </c:val>
          <c:smooth val="0"/>
          <c:extLst>
            <c:ext xmlns:c16="http://schemas.microsoft.com/office/drawing/2014/chart" uri="{C3380CC4-5D6E-409C-BE32-E72D297353CC}">
              <c16:uniqueId val="{00000000-8777-4FFA-A8E0-F48BA7545928}"/>
            </c:ext>
          </c:extLst>
        </c:ser>
        <c:dLbls>
          <c:dLblPos val="t"/>
          <c:showLegendKey val="0"/>
          <c:showVal val="1"/>
          <c:showCatName val="0"/>
          <c:showSerName val="0"/>
          <c:showPercent val="0"/>
          <c:showBubbleSize val="0"/>
        </c:dLbls>
        <c:smooth val="0"/>
        <c:axId val="696186063"/>
        <c:axId val="696187023"/>
      </c:lineChart>
      <c:catAx>
        <c:axId val="696186063"/>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cap="none" spc="0" baseline="0">
                <a:ln w="0"/>
                <a:solidFill>
                  <a:srgbClr val="002060"/>
                </a:solidFill>
                <a:effectLst>
                  <a:outerShdw blurRad="38100" dist="19050" dir="2700000" algn="tl" rotWithShape="0">
                    <a:schemeClr val="dk1">
                      <a:alpha val="40000"/>
                    </a:schemeClr>
                  </a:outerShdw>
                </a:effectLst>
                <a:latin typeface="+mn-lt"/>
                <a:ea typeface="+mn-ea"/>
                <a:cs typeface="+mn-cs"/>
              </a:defRPr>
            </a:pPr>
            <a:endParaRPr lang="en-US"/>
          </a:p>
        </c:txPr>
        <c:crossAx val="696187023"/>
        <c:crosses val="autoZero"/>
        <c:auto val="1"/>
        <c:lblAlgn val="ctr"/>
        <c:lblOffset val="100"/>
        <c:noMultiLvlLbl val="0"/>
      </c:catAx>
      <c:valAx>
        <c:axId val="69618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18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portfolio dashboard.xlsx]Report!PivotTable17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Avg</a:t>
            </a:r>
            <a:r>
              <a:rPr lang="en-IN" b="1" baseline="0">
                <a:solidFill>
                  <a:srgbClr val="002060"/>
                </a:solidFill>
              </a:rPr>
              <a:t> Premium vs Avg Amount by Policy Type</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solidFill>
              <a:schemeClr val="accent4">
                <a:lumMod val="20000"/>
                <a:lumOff val="80000"/>
              </a:schemeClr>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1.944444444444444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1.944444444444444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layout>
            <c:manualLayout>
              <c:x val="1.66666666666666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a:solidFill>
              <a:schemeClr val="accent4">
                <a:lumMod val="20000"/>
                <a:lumOff val="80000"/>
              </a:schemeClr>
            </a:solidFill>
          </a:ln>
          <a:effectLst/>
        </c:spPr>
        <c:dLbl>
          <c:idx val="0"/>
          <c:layout>
            <c:manualLayout>
              <c:x val="1.6666666666666566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1.944444444444434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solidFill>
              <a:schemeClr val="accent4">
                <a:lumMod val="20000"/>
                <a:lumOff val="80000"/>
              </a:schemeClr>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solidFill>
              <a:schemeClr val="accent4">
                <a:lumMod val="20000"/>
                <a:lumOff val="80000"/>
              </a:schemeClr>
            </a:solidFill>
          </a:ln>
          <a:effectLst/>
        </c:spPr>
        <c:dLbl>
          <c:idx val="0"/>
          <c:layout>
            <c:manualLayout>
              <c:x val="1.6666666666666566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dLbl>
          <c:idx val="0"/>
          <c:layout>
            <c:manualLayout>
              <c:x val="1.944444444444444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layout>
            <c:manualLayout>
              <c:x val="1.944444444444444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dLbl>
          <c:idx val="0"/>
          <c:layout>
            <c:manualLayout>
              <c:x val="1.66666666666666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dLbl>
          <c:idx val="0"/>
          <c:layout>
            <c:manualLayout>
              <c:x val="1.944444444444434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solidFill>
          <a:ln>
            <a:solidFill>
              <a:schemeClr val="accent4">
                <a:lumMod val="20000"/>
                <a:lumOff val="80000"/>
              </a:schemeClr>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a:solidFill>
              <a:schemeClr val="accent4">
                <a:lumMod val="20000"/>
                <a:lumOff val="80000"/>
              </a:schemeClr>
            </a:solidFill>
          </a:ln>
          <a:effectLst/>
        </c:spPr>
        <c:dLbl>
          <c:idx val="0"/>
          <c:layout>
            <c:manualLayout>
              <c:x val="1.6666666666666566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dLbl>
          <c:idx val="0"/>
          <c:layout>
            <c:manualLayout>
              <c:x val="1.666666666666666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dLbl>
          <c:idx val="0"/>
          <c:layout>
            <c:manualLayout>
              <c:x val="1.9444444444444445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1.944444444444444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C00000"/>
          </a:solidFill>
          <a:ln>
            <a:noFill/>
          </a:ln>
          <a:effectLst/>
        </c:spPr>
        <c:dLbl>
          <c:idx val="0"/>
          <c:layout>
            <c:manualLayout>
              <c:x val="1.66666666666666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a:noFill/>
          </a:ln>
          <a:effectLst/>
        </c:spPr>
        <c:dLbl>
          <c:idx val="0"/>
          <c:layout>
            <c:manualLayout>
              <c:x val="1.9444444444444344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594935959435145E-2"/>
          <c:y val="0.24794238942629049"/>
          <c:w val="0.87833988082647496"/>
          <c:h val="0.64626214108248636"/>
        </c:manualLayout>
      </c:layout>
      <c:barChart>
        <c:barDir val="col"/>
        <c:grouping val="clustered"/>
        <c:varyColors val="0"/>
        <c:ser>
          <c:idx val="0"/>
          <c:order val="0"/>
          <c:tx>
            <c:strRef>
              <c:f>Report!$E$8</c:f>
              <c:strCache>
                <c:ptCount val="1"/>
                <c:pt idx="0">
                  <c:v>Average of Annual_Premium</c:v>
                </c:pt>
              </c:strCache>
            </c:strRef>
          </c:tx>
          <c:spPr>
            <a:solidFill>
              <a:srgbClr val="002060"/>
            </a:solidFill>
            <a:ln>
              <a:solidFill>
                <a:schemeClr val="accent4">
                  <a:lumMod val="20000"/>
                  <a:lumOff val="80000"/>
                </a:schemeClr>
              </a:solidFill>
            </a:ln>
            <a:effectLst/>
          </c:spPr>
          <c:invertIfNegative val="0"/>
          <c:dPt>
            <c:idx val="4"/>
            <c:invertIfNegative val="0"/>
            <c:bubble3D val="0"/>
            <c:extLst>
              <c:ext xmlns:c16="http://schemas.microsoft.com/office/drawing/2014/chart" uri="{C3380CC4-5D6E-409C-BE32-E72D297353CC}">
                <c16:uniqueId val="{00000000-52C9-4D09-8C4B-6777372D45C5}"/>
              </c:ext>
            </c:extLst>
          </c:dPt>
          <c:dLbls>
            <c:dLbl>
              <c:idx val="4"/>
              <c:layout>
                <c:manualLayout>
                  <c:x val="1.66666666666665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C9-4D09-8C4B-6777372D45C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Report!$D$9:$D$14</c:f>
              <c:strCache>
                <c:ptCount val="5"/>
                <c:pt idx="0">
                  <c:v>Auto</c:v>
                </c:pt>
                <c:pt idx="1">
                  <c:v>Health</c:v>
                </c:pt>
                <c:pt idx="2">
                  <c:v>Home</c:v>
                </c:pt>
                <c:pt idx="3">
                  <c:v>Life</c:v>
                </c:pt>
                <c:pt idx="4">
                  <c:v>Travel</c:v>
                </c:pt>
              </c:strCache>
            </c:strRef>
          </c:cat>
          <c:val>
            <c:numRef>
              <c:f>Report!$E$9:$E$14</c:f>
              <c:numCache>
                <c:formatCode>_ "₹"\ * #,##0_ ;_ "₹"\ * \-#,##0_ ;_ "₹"\ * "-"??_ ;_ @_ </c:formatCode>
                <c:ptCount val="5"/>
                <c:pt idx="0">
                  <c:v>1917.2930555555556</c:v>
                </c:pt>
                <c:pt idx="1">
                  <c:v>2563.8030909090912</c:v>
                </c:pt>
                <c:pt idx="2">
                  <c:v>2083.3713461538459</c:v>
                </c:pt>
                <c:pt idx="3">
                  <c:v>1537.0252727272727</c:v>
                </c:pt>
                <c:pt idx="4">
                  <c:v>819.99592592592592</c:v>
                </c:pt>
              </c:numCache>
            </c:numRef>
          </c:val>
          <c:extLst>
            <c:ext xmlns:c16="http://schemas.microsoft.com/office/drawing/2014/chart" uri="{C3380CC4-5D6E-409C-BE32-E72D297353CC}">
              <c16:uniqueId val="{00000001-52C9-4D09-8C4B-6777372D45C5}"/>
            </c:ext>
          </c:extLst>
        </c:ser>
        <c:ser>
          <c:idx val="1"/>
          <c:order val="1"/>
          <c:tx>
            <c:strRef>
              <c:f>Report!$F$8</c:f>
              <c:strCache>
                <c:ptCount val="1"/>
                <c:pt idx="0">
                  <c:v>Average of Claim_Amount</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52C9-4D09-8C4B-6777372D45C5}"/>
              </c:ext>
            </c:extLst>
          </c:dPt>
          <c:dPt>
            <c:idx val="1"/>
            <c:invertIfNegative val="0"/>
            <c:bubble3D val="0"/>
            <c:extLst>
              <c:ext xmlns:c16="http://schemas.microsoft.com/office/drawing/2014/chart" uri="{C3380CC4-5D6E-409C-BE32-E72D297353CC}">
                <c16:uniqueId val="{00000003-52C9-4D09-8C4B-6777372D45C5}"/>
              </c:ext>
            </c:extLst>
          </c:dPt>
          <c:dPt>
            <c:idx val="2"/>
            <c:invertIfNegative val="0"/>
            <c:bubble3D val="0"/>
            <c:extLst>
              <c:ext xmlns:c16="http://schemas.microsoft.com/office/drawing/2014/chart" uri="{C3380CC4-5D6E-409C-BE32-E72D297353CC}">
                <c16:uniqueId val="{00000004-52C9-4D09-8C4B-6777372D45C5}"/>
              </c:ext>
            </c:extLst>
          </c:dPt>
          <c:dPt>
            <c:idx val="3"/>
            <c:invertIfNegative val="0"/>
            <c:bubble3D val="0"/>
            <c:extLst>
              <c:ext xmlns:c16="http://schemas.microsoft.com/office/drawing/2014/chart" uri="{C3380CC4-5D6E-409C-BE32-E72D297353CC}">
                <c16:uniqueId val="{00000005-52C9-4D09-8C4B-6777372D45C5}"/>
              </c:ext>
            </c:extLst>
          </c:dPt>
          <c:dPt>
            <c:idx val="4"/>
            <c:invertIfNegative val="0"/>
            <c:bubble3D val="0"/>
            <c:extLst>
              <c:ext xmlns:c16="http://schemas.microsoft.com/office/drawing/2014/chart" uri="{C3380CC4-5D6E-409C-BE32-E72D297353CC}">
                <c16:uniqueId val="{00000006-52C9-4D09-8C4B-6777372D45C5}"/>
              </c:ext>
            </c:extLst>
          </c:dPt>
          <c:dLbls>
            <c:dLbl>
              <c:idx val="0"/>
              <c:layout>
                <c:manualLayout>
                  <c:x val="1.666666666666666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C9-4D09-8C4B-6777372D45C5}"/>
                </c:ext>
              </c:extLst>
            </c:dLbl>
            <c:dLbl>
              <c:idx val="1"/>
              <c:layout>
                <c:manualLayout>
                  <c:x val="1.9444444444444445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C9-4D09-8C4B-6777372D45C5}"/>
                </c:ext>
              </c:extLst>
            </c:dLbl>
            <c:dLbl>
              <c:idx val="2"/>
              <c:layout>
                <c:manualLayout>
                  <c:x val="1.944444444444444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C9-4D09-8C4B-6777372D45C5}"/>
                </c:ext>
              </c:extLst>
            </c:dLbl>
            <c:dLbl>
              <c:idx val="3"/>
              <c:layout>
                <c:manualLayout>
                  <c:x val="1.6666666666666666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C9-4D09-8C4B-6777372D45C5}"/>
                </c:ext>
              </c:extLst>
            </c:dLbl>
            <c:dLbl>
              <c:idx val="4"/>
              <c:layout>
                <c:manualLayout>
                  <c:x val="1.9444444444444344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C9-4D09-8C4B-6777372D45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Report!$D$9:$D$14</c:f>
              <c:strCache>
                <c:ptCount val="5"/>
                <c:pt idx="0">
                  <c:v>Auto</c:v>
                </c:pt>
                <c:pt idx="1">
                  <c:v>Health</c:v>
                </c:pt>
                <c:pt idx="2">
                  <c:v>Home</c:v>
                </c:pt>
                <c:pt idx="3">
                  <c:v>Life</c:v>
                </c:pt>
                <c:pt idx="4">
                  <c:v>Travel</c:v>
                </c:pt>
              </c:strCache>
            </c:strRef>
          </c:cat>
          <c:val>
            <c:numRef>
              <c:f>Report!$F$9:$F$14</c:f>
              <c:numCache>
                <c:formatCode>_ "₹"\ * #,##0_ ;_ "₹"\ * \-#,##0_ ;_ "₹"\ * "-"??_ ;_ @_ </c:formatCode>
                <c:ptCount val="5"/>
                <c:pt idx="0">
                  <c:v>874.18805555555559</c:v>
                </c:pt>
                <c:pt idx="1">
                  <c:v>1229.9427272727273</c:v>
                </c:pt>
                <c:pt idx="2">
                  <c:v>921.38307692307694</c:v>
                </c:pt>
                <c:pt idx="3">
                  <c:v>822.35690909090908</c:v>
                </c:pt>
                <c:pt idx="4">
                  <c:v>403.05185185185184</c:v>
                </c:pt>
              </c:numCache>
            </c:numRef>
          </c:val>
          <c:extLst>
            <c:ext xmlns:c16="http://schemas.microsoft.com/office/drawing/2014/chart" uri="{C3380CC4-5D6E-409C-BE32-E72D297353CC}">
              <c16:uniqueId val="{00000007-52C9-4D09-8C4B-6777372D45C5}"/>
            </c:ext>
          </c:extLst>
        </c:ser>
        <c:dLbls>
          <c:dLblPos val="outEnd"/>
          <c:showLegendKey val="0"/>
          <c:showVal val="1"/>
          <c:showCatName val="0"/>
          <c:showSerName val="0"/>
          <c:showPercent val="0"/>
          <c:showBubbleSize val="0"/>
        </c:dLbls>
        <c:gapWidth val="219"/>
        <c:overlap val="-27"/>
        <c:axId val="811795215"/>
        <c:axId val="811791855"/>
      </c:barChart>
      <c:catAx>
        <c:axId val="81179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crossAx val="811791855"/>
        <c:crosses val="autoZero"/>
        <c:auto val="1"/>
        <c:lblAlgn val="ctr"/>
        <c:lblOffset val="100"/>
        <c:noMultiLvlLbl val="0"/>
      </c:catAx>
      <c:valAx>
        <c:axId val="811791855"/>
        <c:scaling>
          <c:orientation val="minMax"/>
        </c:scaling>
        <c:delete val="1"/>
        <c:axPos val="l"/>
        <c:numFmt formatCode="_ &quot;₹&quot;\ * #,##0_ ;_ &quot;₹&quot;\ * \-#,##0_ ;_ &quot;₹&quot;\ * &quot;-&quot;??_ ;_ @_ " sourceLinked="1"/>
        <c:majorTickMark val="none"/>
        <c:minorTickMark val="none"/>
        <c:tickLblPos val="nextTo"/>
        <c:crossAx val="811795215"/>
        <c:crosses val="autoZero"/>
        <c:crossBetween val="between"/>
      </c:valAx>
      <c:spPr>
        <a:noFill/>
        <a:ln>
          <a:noFill/>
        </a:ln>
        <a:effectLst/>
      </c:spPr>
    </c:plotArea>
    <c:legend>
      <c:legendPos val="r"/>
      <c:layout>
        <c:manualLayout>
          <c:xMode val="edge"/>
          <c:yMode val="edge"/>
          <c:x val="0.66644115087329503"/>
          <c:y val="0.20638515990825837"/>
          <c:w val="0.27203986301126554"/>
          <c:h val="0.25398522981350791"/>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portfolio dashboard.xlsx]Report!PivotTable19</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a:solidFill>
                  <a:srgbClr val="002060"/>
                </a:solidFill>
              </a:rPr>
              <a:t>Claim</a:t>
            </a:r>
            <a:r>
              <a:rPr lang="en-IN" b="1" baseline="0">
                <a:solidFill>
                  <a:srgbClr val="002060"/>
                </a:solidFill>
              </a:rPr>
              <a:t> by Region</a:t>
            </a:r>
            <a:endParaRPr lang="en-IN" b="1">
              <a:solidFill>
                <a:srgbClr val="002060"/>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002060"/>
          </a:solidFill>
          <a:ln w="19050">
            <a:solidFill>
              <a:schemeClr val="lt1"/>
            </a:solidFill>
          </a:ln>
          <a:effectLst/>
        </c:spPr>
        <c:dLbl>
          <c:idx val="0"/>
          <c:layout>
            <c:manualLayout>
              <c:x val="8.3333333333333232E-2"/>
              <c:y val="-6.9444444444444448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0000"/>
          </a:solidFill>
          <a:ln w="19050">
            <a:solidFill>
              <a:schemeClr val="lt1"/>
            </a:solidFill>
          </a:ln>
          <a:effectLst/>
        </c:spPr>
        <c:dLbl>
          <c:idx val="0"/>
          <c:layout>
            <c:manualLayout>
              <c:x val="8.8888888888888892E-2"/>
              <c:y val="7.407407407407407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3">
              <a:lumMod val="60000"/>
              <a:lumOff val="40000"/>
            </a:schemeClr>
          </a:solidFill>
          <a:ln w="19050">
            <a:solidFill>
              <a:schemeClr val="lt1"/>
            </a:solidFill>
          </a:ln>
          <a:effectLst/>
        </c:spPr>
        <c:dLbl>
          <c:idx val="0"/>
          <c:layout>
            <c:manualLayout>
              <c:x val="0"/>
              <c:y val="7.8703703703703706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00B0F0"/>
          </a:solidFill>
          <a:ln w="19050">
            <a:solidFill>
              <a:schemeClr val="lt1"/>
            </a:solidFill>
          </a:ln>
          <a:effectLst/>
        </c:spPr>
        <c:dLbl>
          <c:idx val="0"/>
          <c:layout>
            <c:manualLayout>
              <c:x val="-9.1666666666666674E-2"/>
              <c:y val="-9.2592592592592587E-3"/>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FF00"/>
          </a:solidFill>
          <a:ln w="19050">
            <a:solidFill>
              <a:schemeClr val="lt1"/>
            </a:solidFill>
          </a:ln>
          <a:effectLst/>
        </c:spPr>
        <c:dLbl>
          <c:idx val="0"/>
          <c:layout>
            <c:manualLayout>
              <c:x val="-8.0555555555555575E-2"/>
              <c:y val="-7.407407407407407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002060"/>
          </a:solidFill>
          <a:ln w="19050">
            <a:solidFill>
              <a:schemeClr val="lt1"/>
            </a:solidFill>
          </a:ln>
          <a:effectLst/>
        </c:spPr>
        <c:dLbl>
          <c:idx val="0"/>
          <c:layout>
            <c:manualLayout>
              <c:x val="8.3333333333333232E-2"/>
              <c:y val="-6.9444444444444448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0000"/>
          </a:solidFill>
          <a:ln w="19050">
            <a:solidFill>
              <a:schemeClr val="lt1"/>
            </a:solidFill>
          </a:ln>
          <a:effectLst/>
        </c:spPr>
        <c:dLbl>
          <c:idx val="0"/>
          <c:layout>
            <c:manualLayout>
              <c:x val="8.8888888888888892E-2"/>
              <c:y val="7.407407407407407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3">
              <a:lumMod val="60000"/>
              <a:lumOff val="40000"/>
            </a:schemeClr>
          </a:solidFill>
          <a:ln w="19050">
            <a:solidFill>
              <a:schemeClr val="lt1"/>
            </a:solidFill>
          </a:ln>
          <a:effectLst/>
        </c:spPr>
        <c:dLbl>
          <c:idx val="0"/>
          <c:layout>
            <c:manualLayout>
              <c:x val="0"/>
              <c:y val="7.8703703703703706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00B0F0"/>
          </a:solidFill>
          <a:ln w="19050">
            <a:solidFill>
              <a:schemeClr val="lt1"/>
            </a:solidFill>
          </a:ln>
          <a:effectLst/>
        </c:spPr>
        <c:dLbl>
          <c:idx val="0"/>
          <c:layout>
            <c:manualLayout>
              <c:x val="-9.1666666666666674E-2"/>
              <c:y val="-9.2592592592592587E-3"/>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FFFF00"/>
          </a:solidFill>
          <a:ln w="19050">
            <a:solidFill>
              <a:schemeClr val="lt1"/>
            </a:solidFill>
          </a:ln>
          <a:effectLst/>
        </c:spPr>
        <c:dLbl>
          <c:idx val="0"/>
          <c:layout>
            <c:manualLayout>
              <c:x val="-8.0555555555555575E-2"/>
              <c:y val="-7.407407407407407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002060"/>
          </a:solidFill>
          <a:ln w="19050">
            <a:solidFill>
              <a:schemeClr val="lt1"/>
            </a:solidFill>
          </a:ln>
          <a:effectLst/>
        </c:spPr>
        <c:dLbl>
          <c:idx val="0"/>
          <c:layout>
            <c:manualLayout>
              <c:x val="4.8333895733981842E-2"/>
              <c:y val="-0.14155042010763294"/>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FF0000"/>
          </a:solidFill>
          <a:ln w="19050">
            <a:solidFill>
              <a:schemeClr val="lt1"/>
            </a:solidFill>
          </a:ln>
          <a:effectLst/>
        </c:spPr>
        <c:dLbl>
          <c:idx val="0"/>
          <c:layout>
            <c:manualLayout>
              <c:x val="0.13555488734329063"/>
              <c:y val="7.888098981733882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3">
              <a:lumMod val="60000"/>
              <a:lumOff val="40000"/>
            </a:schemeClr>
          </a:solidFill>
          <a:ln w="19050">
            <a:solidFill>
              <a:schemeClr val="lt1"/>
            </a:solidFill>
          </a:ln>
          <a:effectLst/>
        </c:spPr>
        <c:dLbl>
          <c:idx val="0"/>
          <c:layout>
            <c:manualLayout>
              <c:x val="0"/>
              <c:y val="9.3125057249553375E-2"/>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00B0F0"/>
          </a:solidFill>
          <a:ln w="19050">
            <a:solidFill>
              <a:schemeClr val="lt1"/>
            </a:solidFill>
          </a:ln>
          <a:effectLst/>
        </c:spPr>
        <c:dLbl>
          <c:idx val="0"/>
          <c:layout>
            <c:manualLayout>
              <c:x val="-9.1666814666837321E-2"/>
              <c:y val="0.12053179062977158"/>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FFFF00"/>
          </a:solidFill>
          <a:ln w="19050">
            <a:solidFill>
              <a:schemeClr val="lt1"/>
            </a:solidFill>
          </a:ln>
          <a:effectLst/>
        </c:spPr>
        <c:dLbl>
          <c:idx val="0"/>
          <c:layout>
            <c:manualLayout>
              <c:x val="-9.611080048086787E-2"/>
              <c:y val="-0.11253047947305429"/>
            </c:manualLayout>
          </c:layout>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Report!$L$8</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A361-4C5C-AB18-386174D9E5C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361-4C5C-AB18-386174D9E5CE}"/>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A361-4C5C-AB18-386174D9E5CE}"/>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A361-4C5C-AB18-386174D9E5CE}"/>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9-A361-4C5C-AB18-386174D9E5CE}"/>
              </c:ext>
            </c:extLst>
          </c:dPt>
          <c:dLbls>
            <c:dLbl>
              <c:idx val="0"/>
              <c:layout>
                <c:manualLayout>
                  <c:x val="4.8333895733981842E-2"/>
                  <c:y val="-0.141550420107632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61-4C5C-AB18-386174D9E5CE}"/>
                </c:ext>
              </c:extLst>
            </c:dLbl>
            <c:dLbl>
              <c:idx val="1"/>
              <c:layout>
                <c:manualLayout>
                  <c:x val="0.13555488734329063"/>
                  <c:y val="7.888098981733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61-4C5C-AB18-386174D9E5CE}"/>
                </c:ext>
              </c:extLst>
            </c:dLbl>
            <c:dLbl>
              <c:idx val="2"/>
              <c:layout>
                <c:manualLayout>
                  <c:x val="0"/>
                  <c:y val="9.3125057249553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61-4C5C-AB18-386174D9E5CE}"/>
                </c:ext>
              </c:extLst>
            </c:dLbl>
            <c:dLbl>
              <c:idx val="3"/>
              <c:layout>
                <c:manualLayout>
                  <c:x val="-9.1666814666837321E-2"/>
                  <c:y val="0.12053179062977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61-4C5C-AB18-386174D9E5CE}"/>
                </c:ext>
              </c:extLst>
            </c:dLbl>
            <c:dLbl>
              <c:idx val="4"/>
              <c:layout>
                <c:manualLayout>
                  <c:x val="-9.611080048086787E-2"/>
                  <c:y val="-0.112530479473054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61-4C5C-AB18-386174D9E5CE}"/>
                </c:ext>
              </c:extLst>
            </c:dLbl>
            <c:numFmt formatCode="#,##0.00" sourceLinked="0"/>
            <c:spPr>
              <a:noFill/>
              <a:ln>
                <a:noFill/>
              </a:ln>
              <a:effectLst/>
            </c:spPr>
            <c:txPr>
              <a:bodyPr rot="0" spcFirstLastPara="1" vertOverflow="ellipsis" horzOverflow="clip" vert="horz" wrap="square" lIns="396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Report!$K$9:$K$14</c:f>
              <c:strCache>
                <c:ptCount val="5"/>
                <c:pt idx="0">
                  <c:v>Central</c:v>
                </c:pt>
                <c:pt idx="1">
                  <c:v>East</c:v>
                </c:pt>
                <c:pt idx="2">
                  <c:v>North</c:v>
                </c:pt>
                <c:pt idx="3">
                  <c:v>South</c:v>
                </c:pt>
                <c:pt idx="4">
                  <c:v>West</c:v>
                </c:pt>
              </c:strCache>
            </c:strRef>
          </c:cat>
          <c:val>
            <c:numRef>
              <c:f>Report!$L$9:$L$14</c:f>
              <c:numCache>
                <c:formatCode>_ "₹"\ * #,##0_ ;_ "₹"\ * \-#,##0_ ;_ "₹"\ * "-"??_ ;_ @_ </c:formatCode>
                <c:ptCount val="5"/>
                <c:pt idx="0">
                  <c:v>49037.15</c:v>
                </c:pt>
                <c:pt idx="1">
                  <c:v>40838.06</c:v>
                </c:pt>
                <c:pt idx="2">
                  <c:v>49314.2</c:v>
                </c:pt>
                <c:pt idx="3">
                  <c:v>39230.660000000003</c:v>
                </c:pt>
                <c:pt idx="4">
                  <c:v>35603.9</c:v>
                </c:pt>
              </c:numCache>
            </c:numRef>
          </c:val>
          <c:extLst>
            <c:ext xmlns:c16="http://schemas.microsoft.com/office/drawing/2014/chart" uri="{C3380CC4-5D6E-409C-BE32-E72D297353CC}">
              <c16:uniqueId val="{0000000A-A361-4C5C-AB18-386174D9E5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853696412948378"/>
          <c:y val="0.12896835812190144"/>
          <c:w val="0.16372162815547961"/>
          <c:h val="0.39062773403324585"/>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portfolio dashboard.xlsx]Report!PivotTable20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Total Premiums</a:t>
            </a:r>
            <a:r>
              <a:rPr lang="en-US" b="1" baseline="0">
                <a:solidFill>
                  <a:srgbClr val="002060"/>
                </a:solidFill>
              </a:rPr>
              <a:t> by Agents</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bg1">
              <a:lumMod val="65000"/>
            </a:schemeClr>
          </a:solidFill>
          <a:ln>
            <a:noFill/>
          </a:ln>
          <a:effectLst/>
        </c:spPr>
      </c:pivotFmt>
      <c:pivotFmt>
        <c:idx val="3"/>
        <c:spPr>
          <a:solidFill>
            <a:srgbClr val="FF0000"/>
          </a:solidFill>
          <a:ln>
            <a:noFill/>
          </a:ln>
          <a:effectLst/>
        </c:spPr>
      </c:pivotFmt>
      <c:pivotFmt>
        <c:idx val="4"/>
        <c:spPr>
          <a:solidFill>
            <a:srgbClr val="FFFF00"/>
          </a:solidFill>
          <a:ln>
            <a:noFill/>
          </a:ln>
          <a:effectLst/>
        </c:spPr>
      </c:pivotFmt>
      <c:pivotFmt>
        <c:idx val="5"/>
        <c:spPr>
          <a:solidFill>
            <a:srgbClr val="002060"/>
          </a:solidFill>
          <a:ln>
            <a:noFill/>
          </a:ln>
          <a:effectLst/>
        </c:spPr>
      </c:pivotFmt>
      <c:pivotFmt>
        <c:idx val="6"/>
        <c:spPr>
          <a:solidFill>
            <a:schemeClr val="accent5">
              <a:lumMod val="60000"/>
              <a:lumOff val="40000"/>
            </a:schemeClr>
          </a:solidFill>
          <a:ln>
            <a:noFill/>
          </a:ln>
          <a:effectLst/>
        </c:spPr>
      </c:pivotFmt>
      <c:pivotFmt>
        <c:idx val="7"/>
        <c:spPr>
          <a:solidFill>
            <a:srgbClr val="FFC000"/>
          </a:solidFill>
          <a:ln>
            <a:noFill/>
          </a:ln>
          <a:effectLst/>
        </c:spPr>
      </c:pivotFmt>
      <c:pivotFmt>
        <c:idx val="8"/>
        <c:spPr>
          <a:solidFill>
            <a:schemeClr val="tx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pivotFmt>
      <c:pivotFmt>
        <c:idx val="11"/>
        <c:spPr>
          <a:solidFill>
            <a:schemeClr val="bg1">
              <a:lumMod val="65000"/>
            </a:schemeClr>
          </a:solidFill>
          <a:ln>
            <a:noFill/>
          </a:ln>
          <a:effectLst/>
        </c:spPr>
      </c:pivotFmt>
      <c:pivotFmt>
        <c:idx val="12"/>
        <c:spPr>
          <a:solidFill>
            <a:srgbClr val="FF0000"/>
          </a:solidFill>
          <a:ln>
            <a:noFill/>
          </a:ln>
          <a:effectLst/>
        </c:spPr>
      </c:pivotFmt>
      <c:pivotFmt>
        <c:idx val="13"/>
        <c:spPr>
          <a:solidFill>
            <a:srgbClr val="FFFF00"/>
          </a:solidFill>
          <a:ln>
            <a:noFill/>
          </a:ln>
          <a:effectLst/>
        </c:spPr>
      </c:pivotFmt>
      <c:pivotFmt>
        <c:idx val="14"/>
        <c:spPr>
          <a:solidFill>
            <a:srgbClr val="002060"/>
          </a:solidFill>
          <a:ln>
            <a:noFill/>
          </a:ln>
          <a:effectLst/>
        </c:spPr>
      </c:pivotFmt>
      <c:pivotFmt>
        <c:idx val="15"/>
        <c:spPr>
          <a:solidFill>
            <a:schemeClr val="accent5">
              <a:lumMod val="60000"/>
              <a:lumOff val="40000"/>
            </a:schemeClr>
          </a:solidFill>
          <a:ln>
            <a:noFill/>
          </a:ln>
          <a:effectLst/>
        </c:spPr>
      </c:pivotFmt>
      <c:pivotFmt>
        <c:idx val="16"/>
        <c:spPr>
          <a:solidFill>
            <a:srgbClr val="FFC000"/>
          </a:solidFill>
          <a:ln>
            <a:noFill/>
          </a:ln>
          <a:effectLst/>
        </c:spPr>
      </c:pivotFmt>
      <c:pivotFmt>
        <c:idx val="17"/>
        <c:spPr>
          <a:solidFill>
            <a:schemeClr val="tx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c:spPr>
      </c:pivotFmt>
      <c:pivotFmt>
        <c:idx val="20"/>
        <c:spPr>
          <a:solidFill>
            <a:schemeClr val="bg1">
              <a:lumMod val="65000"/>
            </a:schemeClr>
          </a:solidFill>
          <a:ln>
            <a:noFill/>
          </a:ln>
          <a:effectLst/>
        </c:spPr>
      </c:pivotFmt>
      <c:pivotFmt>
        <c:idx val="21"/>
        <c:spPr>
          <a:solidFill>
            <a:srgbClr val="FF0000"/>
          </a:solidFill>
          <a:ln>
            <a:noFill/>
          </a:ln>
          <a:effectLst/>
        </c:spPr>
      </c:pivotFmt>
      <c:pivotFmt>
        <c:idx val="22"/>
        <c:spPr>
          <a:solidFill>
            <a:srgbClr val="FFFF00"/>
          </a:solidFill>
          <a:ln>
            <a:noFill/>
          </a:ln>
          <a:effectLst/>
        </c:spPr>
      </c:pivotFmt>
      <c:pivotFmt>
        <c:idx val="23"/>
        <c:spPr>
          <a:solidFill>
            <a:srgbClr val="002060"/>
          </a:solidFill>
          <a:ln>
            <a:noFill/>
          </a:ln>
          <a:effectLst/>
        </c:spPr>
      </c:pivotFmt>
      <c:pivotFmt>
        <c:idx val="24"/>
        <c:spPr>
          <a:solidFill>
            <a:schemeClr val="accent5">
              <a:lumMod val="60000"/>
              <a:lumOff val="40000"/>
            </a:schemeClr>
          </a:solidFill>
          <a:ln>
            <a:noFill/>
          </a:ln>
          <a:effectLst/>
        </c:spPr>
      </c:pivotFmt>
      <c:pivotFmt>
        <c:idx val="25"/>
        <c:spPr>
          <a:solidFill>
            <a:srgbClr val="FFC000"/>
          </a:solidFill>
          <a:ln>
            <a:noFill/>
          </a:ln>
          <a:effectLst/>
        </c:spPr>
      </c:pivotFmt>
      <c:pivotFmt>
        <c:idx val="26"/>
        <c:spPr>
          <a:solidFill>
            <a:schemeClr val="tx1"/>
          </a:solidFill>
          <a:ln>
            <a:noFill/>
          </a:ln>
          <a:effectLst/>
        </c:spPr>
      </c:pivotFmt>
    </c:pivotFmts>
    <c:plotArea>
      <c:layout/>
      <c:barChart>
        <c:barDir val="bar"/>
        <c:grouping val="clustered"/>
        <c:varyColors val="0"/>
        <c:ser>
          <c:idx val="0"/>
          <c:order val="0"/>
          <c:tx>
            <c:strRef>
              <c:f>Report!$O$8</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A740-436B-A35D-DF0A5B387882}"/>
              </c:ext>
            </c:extLst>
          </c:dPt>
          <c:dPt>
            <c:idx val="1"/>
            <c:invertIfNegative val="0"/>
            <c:bubble3D val="0"/>
            <c:spPr>
              <a:solidFill>
                <a:srgbClr val="002060"/>
              </a:solidFill>
              <a:ln>
                <a:noFill/>
              </a:ln>
              <a:effectLst/>
            </c:spPr>
            <c:extLst>
              <c:ext xmlns:c16="http://schemas.microsoft.com/office/drawing/2014/chart" uri="{C3380CC4-5D6E-409C-BE32-E72D297353CC}">
                <c16:uniqueId val="{00000003-A740-436B-A35D-DF0A5B387882}"/>
              </c:ext>
            </c:extLst>
          </c:dPt>
          <c:dPt>
            <c:idx val="2"/>
            <c:invertIfNegative val="0"/>
            <c:bubble3D val="0"/>
            <c:spPr>
              <a:solidFill>
                <a:srgbClr val="FFC000"/>
              </a:solidFill>
              <a:ln>
                <a:noFill/>
              </a:ln>
              <a:effectLst/>
            </c:spPr>
            <c:extLst>
              <c:ext xmlns:c16="http://schemas.microsoft.com/office/drawing/2014/chart" uri="{C3380CC4-5D6E-409C-BE32-E72D297353CC}">
                <c16:uniqueId val="{00000005-A740-436B-A35D-DF0A5B387882}"/>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7-A740-436B-A35D-DF0A5B387882}"/>
              </c:ext>
            </c:extLst>
          </c:dPt>
          <c:dPt>
            <c:idx val="4"/>
            <c:invertIfNegative val="0"/>
            <c:bubble3D val="0"/>
            <c:spPr>
              <a:solidFill>
                <a:srgbClr val="FF0000"/>
              </a:solidFill>
              <a:ln>
                <a:noFill/>
              </a:ln>
              <a:effectLst/>
            </c:spPr>
            <c:extLst>
              <c:ext xmlns:c16="http://schemas.microsoft.com/office/drawing/2014/chart" uri="{C3380CC4-5D6E-409C-BE32-E72D297353CC}">
                <c16:uniqueId val="{00000009-A740-436B-A35D-DF0A5B387882}"/>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A740-436B-A35D-DF0A5B387882}"/>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D-A740-436B-A35D-DF0A5B387882}"/>
              </c:ext>
            </c:extLst>
          </c:dPt>
          <c:dPt>
            <c:idx val="7"/>
            <c:invertIfNegative val="0"/>
            <c:bubble3D val="0"/>
            <c:spPr>
              <a:solidFill>
                <a:srgbClr val="FFFF00"/>
              </a:solidFill>
              <a:ln>
                <a:noFill/>
              </a:ln>
              <a:effectLst/>
            </c:spPr>
            <c:extLst>
              <c:ext xmlns:c16="http://schemas.microsoft.com/office/drawing/2014/chart" uri="{C3380CC4-5D6E-409C-BE32-E72D297353CC}">
                <c16:uniqueId val="{0000000F-A740-436B-A35D-DF0A5B3878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Report!$N$9:$N$17</c:f>
              <c:strCache>
                <c:ptCount val="8"/>
                <c:pt idx="0">
                  <c:v>Yusuf Bello</c:v>
                </c:pt>
                <c:pt idx="1">
                  <c:v>Fatima Al-Hassan</c:v>
                </c:pt>
                <c:pt idx="2">
                  <c:v>Tunde Fashola</c:v>
                </c:pt>
                <c:pt idx="3">
                  <c:v>Amaka Obi</c:v>
                </c:pt>
                <c:pt idx="4">
                  <c:v>Chukwudi Eze</c:v>
                </c:pt>
                <c:pt idx="5">
                  <c:v>Ngozi Dike</c:v>
                </c:pt>
                <c:pt idx="6">
                  <c:v>Adaeze Okonkwo</c:v>
                </c:pt>
                <c:pt idx="7">
                  <c:v>Emeka Nwachukwu</c:v>
                </c:pt>
              </c:strCache>
            </c:strRef>
          </c:cat>
          <c:val>
            <c:numRef>
              <c:f>Report!$O$9:$O$17</c:f>
              <c:numCache>
                <c:formatCode>_ "₹"\ * #,##0_ ;_ "₹"\ * \-#,##0_ ;_ "₹"\ * "-"??_ ;_ @_ </c:formatCode>
                <c:ptCount val="8"/>
                <c:pt idx="0">
                  <c:v>44173.42</c:v>
                </c:pt>
                <c:pt idx="1">
                  <c:v>47054.97</c:v>
                </c:pt>
                <c:pt idx="2">
                  <c:v>50120.45</c:v>
                </c:pt>
                <c:pt idx="3">
                  <c:v>50931.19</c:v>
                </c:pt>
                <c:pt idx="4">
                  <c:v>55181.14</c:v>
                </c:pt>
                <c:pt idx="5">
                  <c:v>55972.75</c:v>
                </c:pt>
                <c:pt idx="6">
                  <c:v>63029.34</c:v>
                </c:pt>
                <c:pt idx="7">
                  <c:v>80719.94</c:v>
                </c:pt>
              </c:numCache>
            </c:numRef>
          </c:val>
          <c:extLst>
            <c:ext xmlns:c16="http://schemas.microsoft.com/office/drawing/2014/chart" uri="{C3380CC4-5D6E-409C-BE32-E72D297353CC}">
              <c16:uniqueId val="{00000010-A740-436B-A35D-DF0A5B387882}"/>
            </c:ext>
          </c:extLst>
        </c:ser>
        <c:dLbls>
          <c:dLblPos val="outEnd"/>
          <c:showLegendKey val="0"/>
          <c:showVal val="1"/>
          <c:showCatName val="0"/>
          <c:showSerName val="0"/>
          <c:showPercent val="0"/>
          <c:showBubbleSize val="0"/>
        </c:dLbls>
        <c:gapWidth val="182"/>
        <c:axId val="308194703"/>
        <c:axId val="323037871"/>
      </c:barChart>
      <c:catAx>
        <c:axId val="3081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1" i="0" u="none" strike="noStrike" kern="1200" baseline="0">
                <a:solidFill>
                  <a:schemeClr val="tx1"/>
                </a:solidFill>
                <a:latin typeface="+mn-lt"/>
                <a:ea typeface="+mn-ea"/>
                <a:cs typeface="+mn-cs"/>
              </a:defRPr>
            </a:pPr>
            <a:endParaRPr lang="en-US"/>
          </a:p>
        </c:txPr>
        <c:crossAx val="323037871"/>
        <c:crosses val="autoZero"/>
        <c:auto val="1"/>
        <c:lblAlgn val="ctr"/>
        <c:lblOffset val="100"/>
        <c:noMultiLvlLbl val="0"/>
      </c:catAx>
      <c:valAx>
        <c:axId val="323037871"/>
        <c:scaling>
          <c:orientation val="minMax"/>
        </c:scaling>
        <c:delete val="1"/>
        <c:axPos val="b"/>
        <c:numFmt formatCode="_ &quot;₹&quot;\ * #,##0_ ;_ &quot;₹&quot;\ * \-#,##0_ ;_ &quot;₹&quot;\ * &quot;-&quot;??_ ;_ @_ " sourceLinked="1"/>
        <c:majorTickMark val="none"/>
        <c:minorTickMark val="none"/>
        <c:tickLblPos val="nextTo"/>
        <c:crossAx val="3081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portfolio dashboard.xlsx]Report!PivotTable21</c:name>
    <c:fmtId val="4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Policy by Status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rgbClr val="002060"/>
          </a:solidFill>
          <a:ln>
            <a:noFill/>
          </a:ln>
          <a:effectLst/>
        </c:spPr>
      </c:pivotFmt>
      <c:pivotFmt>
        <c:idx val="3"/>
        <c:spPr>
          <a:solidFill>
            <a:srgbClr val="C00000"/>
          </a:solidFill>
          <a:ln>
            <a:noFill/>
          </a:ln>
          <a:effectLst/>
        </c:spPr>
      </c:pivotFmt>
      <c:pivotFmt>
        <c:idx val="4"/>
        <c:spPr>
          <a:solidFill>
            <a:schemeClr val="bg1">
              <a:lumMod val="6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noFill/>
          </a:ln>
          <a:effectLst/>
        </c:spPr>
      </c:pivotFmt>
      <c:pivotFmt>
        <c:idx val="7"/>
        <c:spPr>
          <a:solidFill>
            <a:srgbClr val="C00000"/>
          </a:solidFill>
          <a:ln>
            <a:noFill/>
          </a:ln>
          <a:effectLst/>
        </c:spPr>
      </c:pivotFmt>
      <c:pivotFmt>
        <c:idx val="8"/>
        <c:spPr>
          <a:solidFill>
            <a:srgbClr val="002060"/>
          </a:solidFill>
          <a:ln>
            <a:noFill/>
          </a:ln>
          <a:effectLst/>
        </c:spPr>
      </c:pivotFmt>
      <c:pivotFmt>
        <c:idx val="9"/>
        <c:spPr>
          <a:solidFill>
            <a:schemeClr val="accent6">
              <a:lumMod val="7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65000"/>
            </a:schemeClr>
          </a:solidFill>
          <a:ln>
            <a:noFill/>
          </a:ln>
          <a:effectLst/>
        </c:spPr>
      </c:pivotFmt>
      <c:pivotFmt>
        <c:idx val="12"/>
        <c:spPr>
          <a:solidFill>
            <a:srgbClr val="C00000"/>
          </a:solidFill>
          <a:ln>
            <a:noFill/>
          </a:ln>
          <a:effectLst/>
        </c:spPr>
      </c:pivotFmt>
      <c:pivotFmt>
        <c:idx val="13"/>
        <c:spPr>
          <a:solidFill>
            <a:srgbClr val="002060"/>
          </a:solidFill>
          <a:ln>
            <a:noFill/>
          </a:ln>
          <a:effectLst/>
        </c:spPr>
      </c:pivotFmt>
      <c:pivotFmt>
        <c:idx val="14"/>
        <c:spPr>
          <a:solidFill>
            <a:schemeClr val="accent6">
              <a:lumMod val="75000"/>
            </a:schemeClr>
          </a:solidFill>
          <a:ln>
            <a:noFill/>
          </a:ln>
          <a:effectLst/>
        </c:spPr>
      </c:pivotFmt>
    </c:pivotFmts>
    <c:plotArea>
      <c:layout/>
      <c:barChart>
        <c:barDir val="bar"/>
        <c:grouping val="clustered"/>
        <c:varyColors val="0"/>
        <c:ser>
          <c:idx val="0"/>
          <c:order val="0"/>
          <c:tx>
            <c:strRef>
              <c:f>Report!$R$8</c:f>
              <c:strCache>
                <c:ptCount val="1"/>
                <c:pt idx="0">
                  <c:v>Total</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8B55-4443-BF5A-D2EF3C80F5D9}"/>
              </c:ext>
            </c:extLst>
          </c:dPt>
          <c:dPt>
            <c:idx val="1"/>
            <c:invertIfNegative val="0"/>
            <c:bubble3D val="0"/>
            <c:spPr>
              <a:solidFill>
                <a:srgbClr val="C00000"/>
              </a:solidFill>
              <a:ln>
                <a:noFill/>
              </a:ln>
              <a:effectLst/>
            </c:spPr>
            <c:extLst>
              <c:ext xmlns:c16="http://schemas.microsoft.com/office/drawing/2014/chart" uri="{C3380CC4-5D6E-409C-BE32-E72D297353CC}">
                <c16:uniqueId val="{00000003-8B55-4443-BF5A-D2EF3C80F5D9}"/>
              </c:ext>
            </c:extLst>
          </c:dPt>
          <c:dPt>
            <c:idx val="2"/>
            <c:invertIfNegative val="0"/>
            <c:bubble3D val="0"/>
            <c:spPr>
              <a:solidFill>
                <a:srgbClr val="002060"/>
              </a:solidFill>
              <a:ln>
                <a:noFill/>
              </a:ln>
              <a:effectLst/>
            </c:spPr>
            <c:extLst>
              <c:ext xmlns:c16="http://schemas.microsoft.com/office/drawing/2014/chart" uri="{C3380CC4-5D6E-409C-BE32-E72D297353CC}">
                <c16:uniqueId val="{00000005-8B55-4443-BF5A-D2EF3C80F5D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8B55-4443-BF5A-D2EF3C80F5D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Report!$Q$9:$Q$13</c:f>
              <c:strCache>
                <c:ptCount val="4"/>
                <c:pt idx="0">
                  <c:v>Pending</c:v>
                </c:pt>
                <c:pt idx="1">
                  <c:v>Rejected</c:v>
                </c:pt>
                <c:pt idx="2">
                  <c:v>Approved</c:v>
                </c:pt>
                <c:pt idx="3">
                  <c:v>No Claim</c:v>
                </c:pt>
              </c:strCache>
            </c:strRef>
          </c:cat>
          <c:val>
            <c:numRef>
              <c:f>Report!$R$9:$R$13</c:f>
              <c:numCache>
                <c:formatCode>General</c:formatCode>
                <c:ptCount val="4"/>
                <c:pt idx="0">
                  <c:v>18</c:v>
                </c:pt>
                <c:pt idx="1">
                  <c:v>33</c:v>
                </c:pt>
                <c:pt idx="2">
                  <c:v>72</c:v>
                </c:pt>
                <c:pt idx="3">
                  <c:v>129</c:v>
                </c:pt>
              </c:numCache>
            </c:numRef>
          </c:val>
          <c:extLst>
            <c:ext xmlns:c16="http://schemas.microsoft.com/office/drawing/2014/chart" uri="{C3380CC4-5D6E-409C-BE32-E72D297353CC}">
              <c16:uniqueId val="{00000008-8B55-4443-BF5A-D2EF3C80F5D9}"/>
            </c:ext>
          </c:extLst>
        </c:ser>
        <c:dLbls>
          <c:dLblPos val="outEnd"/>
          <c:showLegendKey val="0"/>
          <c:showVal val="1"/>
          <c:showCatName val="0"/>
          <c:showSerName val="0"/>
          <c:showPercent val="0"/>
          <c:showBubbleSize val="0"/>
        </c:dLbls>
        <c:gapWidth val="182"/>
        <c:axId val="811806735"/>
        <c:axId val="811805295"/>
      </c:barChart>
      <c:catAx>
        <c:axId val="81180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1805295"/>
        <c:crosses val="autoZero"/>
        <c:auto val="1"/>
        <c:lblAlgn val="ctr"/>
        <c:lblOffset val="100"/>
        <c:noMultiLvlLbl val="0"/>
      </c:catAx>
      <c:valAx>
        <c:axId val="81180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180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portfolio dashboard.xlsx]Report!PivotTable22</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Policy</a:t>
            </a:r>
            <a:r>
              <a:rPr lang="en-US" b="1" baseline="0">
                <a:solidFill>
                  <a:schemeClr val="tx1"/>
                </a:solidFill>
              </a:rPr>
              <a:t> by Claim Occurance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8.3333333333333329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8.8888888888888892E-2"/>
              <c:y val="-4.62962962962963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8.8888888888888892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dLbl>
          <c:idx val="0"/>
          <c:layout>
            <c:manualLayout>
              <c:x val="-8.3333333333333329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8.8888888888888892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dLbl>
          <c:idx val="0"/>
          <c:layout>
            <c:manualLayout>
              <c:x val="-8.3333333333333329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05240673036885"/>
          <c:y val="0.21277486147564889"/>
          <c:w val="0.45141680491649167"/>
          <c:h val="0.66745953630796151"/>
        </c:manualLayout>
      </c:layout>
      <c:doughnutChart>
        <c:varyColors val="1"/>
        <c:ser>
          <c:idx val="0"/>
          <c:order val="0"/>
          <c:tx>
            <c:strRef>
              <c:f>Report!$U$8</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C0F3-433A-BF43-10B1D0876186}"/>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C0F3-433A-BF43-10B1D0876186}"/>
              </c:ext>
            </c:extLst>
          </c:dPt>
          <c:dLbls>
            <c:dLbl>
              <c:idx val="0"/>
              <c:layout>
                <c:manualLayout>
                  <c:x val="8.8888888888888892E-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F3-433A-BF43-10B1D0876186}"/>
                </c:ext>
              </c:extLst>
            </c:dLbl>
            <c:dLbl>
              <c:idx val="1"/>
              <c:layout>
                <c:manualLayout>
                  <c:x val="-8.3333333333333329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F3-433A-BF43-10B1D087618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Report!$T$9:$T$11</c:f>
              <c:strCache>
                <c:ptCount val="2"/>
                <c:pt idx="0">
                  <c:v>No</c:v>
                </c:pt>
                <c:pt idx="1">
                  <c:v>Yes</c:v>
                </c:pt>
              </c:strCache>
            </c:strRef>
          </c:cat>
          <c:val>
            <c:numRef>
              <c:f>Report!$U$9:$U$11</c:f>
              <c:numCache>
                <c:formatCode>General</c:formatCode>
                <c:ptCount val="2"/>
                <c:pt idx="0">
                  <c:v>129</c:v>
                </c:pt>
                <c:pt idx="1">
                  <c:v>123</c:v>
                </c:pt>
              </c:numCache>
            </c:numRef>
          </c:val>
          <c:extLst>
            <c:ext xmlns:c16="http://schemas.microsoft.com/office/drawing/2014/chart" uri="{C3380CC4-5D6E-409C-BE32-E72D297353CC}">
              <c16:uniqueId val="{00000004-C0F3-433A-BF43-10B1D08761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004484644346021"/>
          <c:y val="0.1535640857392826"/>
          <c:w val="0.1516729399913167"/>
          <c:h val="0.15625109361329836"/>
        </c:manualLayout>
      </c:layout>
      <c:overlay val="0"/>
      <c:spPr>
        <a:noFill/>
        <a:ln>
          <a:solidFill>
            <a:schemeClr val="tx1"/>
          </a:solid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Total Policy by Risk</cx:v>
        </cx:txData>
      </cx:tx>
      <cx:txPr>
        <a:bodyPr spcFirstLastPara="1" vertOverflow="ellipsis" horzOverflow="overflow" wrap="square" lIns="0" tIns="0" rIns="0" bIns="0" anchor="ctr" anchorCtr="1"/>
        <a:lstStyle/>
        <a:p>
          <a:pPr algn="ctr" rtl="0">
            <a:defRPr b="1">
              <a:solidFill>
                <a:srgbClr val="002060"/>
              </a:solidFill>
            </a:defRPr>
          </a:pPr>
          <a:r>
            <a:rPr lang="en-US" sz="1400" b="1" i="0" u="none" strike="noStrike" baseline="0">
              <a:solidFill>
                <a:srgbClr val="002060"/>
              </a:solidFill>
              <a:latin typeface="Aptos Narrow" panose="02110004020202020204"/>
            </a:rPr>
            <a:t>Total Policy by Risk</a:t>
          </a:r>
        </a:p>
      </cx:txPr>
    </cx:title>
    <cx:plotArea>
      <cx:plotAreaRegion>
        <cx:series layoutId="funnel" uniqueId="{00000000-9159-4892-A701-DF92F7BE7D38}">
          <cx:spPr>
            <a:ln>
              <a:noFill/>
            </a:ln>
          </cx:spPr>
          <cx:dataPt idx="0">
            <cx:spPr>
              <a:solidFill>
                <a:srgbClr val="196B24">
                  <a:lumMod val="60000"/>
                  <a:lumOff val="40000"/>
                </a:srgbClr>
              </a:solidFill>
            </cx:spPr>
          </cx:dataPt>
          <cx:dataPt idx="1">
            <cx:spPr>
              <a:solidFill>
                <a:srgbClr val="00B0F0"/>
              </a:solidFill>
            </cx:spPr>
          </cx:dataPt>
          <cx:dataPt idx="2">
            <cx:spPr>
              <a:solidFill>
                <a:srgbClr val="C00000"/>
              </a:solidFill>
            </cx:spPr>
          </cx:dataPt>
          <cx:dataLabels>
            <cx:txPr>
              <a:bodyPr spcFirstLastPara="1" vertOverflow="ellipsis" horzOverflow="overflow" wrap="square" lIns="0" tIns="0" rIns="0" bIns="0" anchor="ctr" anchorCtr="1"/>
              <a:lstStyle/>
              <a:p>
                <a:pPr algn="ctr" rtl="0">
                  <a:defRPr sz="1500" b="1">
                    <a:solidFill>
                      <a:schemeClr val="bg1"/>
                    </a:solidFill>
                  </a:defRPr>
                </a:pPr>
                <a:endParaRPr lang="en-US" sz="1500" b="1" i="0" u="none" strike="noStrike" baseline="0">
                  <a:solidFill>
                    <a:schemeClr val="bg1"/>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sz="1500"/>
                  </a:pPr>
                  <a:r>
                    <a:rPr lang="en-US" sz="1500" b="0" i="0" u="none" strike="noStrike" baseline="0">
                      <a:solidFill>
                        <a:schemeClr val="bg1"/>
                      </a:solidFill>
                      <a:latin typeface="Aptos Narrow" panose="02110004020202020204"/>
                    </a:rPr>
                    <a:t>80</a:t>
                  </a:r>
                </a:p>
              </cx:txPr>
              <cx:visibility seriesName="0" categoryName="0" value="1"/>
            </cx:dataLabel>
            <cx:dataLabel idx="1">
              <cx:txPr>
                <a:bodyPr spcFirstLastPara="1" vertOverflow="ellipsis" horzOverflow="overflow" wrap="square" lIns="0" tIns="0" rIns="0" bIns="0" anchor="ctr" anchorCtr="1"/>
                <a:lstStyle/>
                <a:p>
                  <a:pPr algn="ctr" rtl="0">
                    <a:defRPr>
                      <a:solidFill>
                        <a:schemeClr val="bg1">
                          <a:lumMod val="95000"/>
                        </a:schemeClr>
                      </a:solidFill>
                    </a:defRPr>
                  </a:pPr>
                  <a:r>
                    <a:rPr lang="en-US" sz="1500" b="0" i="0" u="none" strike="noStrike" baseline="0">
                      <a:solidFill>
                        <a:schemeClr val="bg1">
                          <a:lumMod val="95000"/>
                        </a:schemeClr>
                      </a:solidFill>
                      <a:latin typeface="Aptos Narrow" panose="02110004020202020204"/>
                    </a:rPr>
                    <a:t>83</a:t>
                  </a:r>
                </a:p>
              </cx:txPr>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rgbClr val="002060"/>
                </a:solidFill>
              </a:defRPr>
            </a:pPr>
            <a:endParaRPr lang="en-US" sz="1000" b="1" i="0" u="none" strike="noStrike" baseline="0">
              <a:solidFill>
                <a:srgbClr val="002060"/>
              </a:solidFill>
              <a:latin typeface="Aptos Narrow" panose="0211000402020202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xdr:col>
      <xdr:colOff>210226</xdr:colOff>
      <xdr:row>0</xdr:row>
      <xdr:rowOff>62689</xdr:rowOff>
    </xdr:from>
    <xdr:to>
      <xdr:col>24</xdr:col>
      <xdr:colOff>395512</xdr:colOff>
      <xdr:row>41</xdr:row>
      <xdr:rowOff>162127</xdr:rowOff>
    </xdr:to>
    <xdr:pic>
      <xdr:nvPicPr>
        <xdr:cNvPr id="2" name="Picture 1">
          <a:extLst>
            <a:ext uri="{FF2B5EF4-FFF2-40B4-BE49-F238E27FC236}">
              <a16:creationId xmlns:a16="http://schemas.microsoft.com/office/drawing/2014/main" id="{C64D5543-3F54-91CE-1B58-11B03AB560EF}"/>
            </a:ext>
          </a:extLst>
        </xdr:cNvPr>
        <xdr:cNvPicPr>
          <a:picLocks noChangeAspect="1"/>
        </xdr:cNvPicPr>
      </xdr:nvPicPr>
      <xdr:blipFill>
        <a:blip xmlns:r="http://schemas.openxmlformats.org/officeDocument/2006/relationships" r:embed="rId1"/>
        <a:stretch>
          <a:fillRect/>
        </a:stretch>
      </xdr:blipFill>
      <xdr:spPr>
        <a:xfrm>
          <a:off x="1426183" y="62689"/>
          <a:ext cx="13560818" cy="7854544"/>
        </a:xfrm>
        <a:prstGeom prst="rect">
          <a:avLst/>
        </a:prstGeom>
      </xdr:spPr>
    </xdr:pic>
    <xdr:clientData/>
  </xdr:twoCellAnchor>
  <xdr:twoCellAnchor>
    <xdr:from>
      <xdr:col>3</xdr:col>
      <xdr:colOff>391809</xdr:colOff>
      <xdr:row>6</xdr:row>
      <xdr:rowOff>13511</xdr:rowOff>
    </xdr:from>
    <xdr:to>
      <xdr:col>5</xdr:col>
      <xdr:colOff>27021</xdr:colOff>
      <xdr:row>9</xdr:row>
      <xdr:rowOff>121597</xdr:rowOff>
    </xdr:to>
    <xdr:sp macro="" textlink="Report!A5">
      <xdr:nvSpPr>
        <xdr:cNvPr id="3" name="TextBox 2">
          <a:extLst>
            <a:ext uri="{FF2B5EF4-FFF2-40B4-BE49-F238E27FC236}">
              <a16:creationId xmlns:a16="http://schemas.microsoft.com/office/drawing/2014/main" id="{3F9BA239-78A7-E913-DF9F-56F82C8F9B5F}"/>
            </a:ext>
          </a:extLst>
        </xdr:cNvPr>
        <xdr:cNvSpPr txBox="1"/>
      </xdr:nvSpPr>
      <xdr:spPr>
        <a:xfrm>
          <a:off x="2215745" y="1148405"/>
          <a:ext cx="851170" cy="6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688F90-68D6-4F98-8BCD-9077BF8FC7C5}" type="TxLink">
            <a:rPr lang="en-US" sz="2800" b="1" i="0" u="none" strike="noStrike">
              <a:solidFill>
                <a:srgbClr val="002060"/>
              </a:solidFill>
              <a:latin typeface="Aptos Narrow"/>
            </a:rPr>
            <a:pPr/>
            <a:t>252</a:t>
          </a:fld>
          <a:endParaRPr lang="en-IN" sz="2800" b="1">
            <a:solidFill>
              <a:srgbClr val="002060"/>
            </a:solidFill>
          </a:endParaRPr>
        </a:p>
      </xdr:txBody>
    </xdr:sp>
    <xdr:clientData/>
  </xdr:twoCellAnchor>
  <xdr:twoCellAnchor>
    <xdr:from>
      <xdr:col>6</xdr:col>
      <xdr:colOff>260485</xdr:colOff>
      <xdr:row>5</xdr:row>
      <xdr:rowOff>175638</xdr:rowOff>
    </xdr:from>
    <xdr:to>
      <xdr:col>9</xdr:col>
      <xdr:colOff>499893</xdr:colOff>
      <xdr:row>9</xdr:row>
      <xdr:rowOff>121595</xdr:rowOff>
    </xdr:to>
    <xdr:sp macro="" textlink="Report!C5">
      <xdr:nvSpPr>
        <xdr:cNvPr id="4" name="TextBox 3">
          <a:extLst>
            <a:ext uri="{FF2B5EF4-FFF2-40B4-BE49-F238E27FC236}">
              <a16:creationId xmlns:a16="http://schemas.microsoft.com/office/drawing/2014/main" id="{06ACCA2A-150A-DDF8-EF4B-CD55170B4A49}"/>
            </a:ext>
          </a:extLst>
        </xdr:cNvPr>
        <xdr:cNvSpPr txBox="1"/>
      </xdr:nvSpPr>
      <xdr:spPr>
        <a:xfrm>
          <a:off x="3908357" y="1121383"/>
          <a:ext cx="2063345" cy="702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46814F-38E6-49E0-9F3C-17D67228C238}" type="TxLink">
            <a:rPr lang="en-US" sz="2800" b="1" i="0" u="none" strike="noStrike">
              <a:solidFill>
                <a:schemeClr val="accent6">
                  <a:lumMod val="50000"/>
                </a:schemeClr>
              </a:solidFill>
              <a:latin typeface="Aptos Narrow"/>
              <a:ea typeface="+mn-ea"/>
              <a:cs typeface="+mn-cs"/>
            </a:rPr>
            <a:pPr marL="0" indent="0"/>
            <a:t> ₹ 4,47,183 </a:t>
          </a:fld>
          <a:endParaRPr lang="en-IN" sz="2800" b="1" i="0" u="none" strike="noStrike">
            <a:solidFill>
              <a:schemeClr val="accent6">
                <a:lumMod val="50000"/>
              </a:schemeClr>
            </a:solidFill>
            <a:latin typeface="Aptos Narrow"/>
            <a:ea typeface="+mn-ea"/>
            <a:cs typeface="+mn-cs"/>
          </a:endParaRPr>
        </a:p>
      </xdr:txBody>
    </xdr:sp>
    <xdr:clientData/>
  </xdr:twoCellAnchor>
  <xdr:twoCellAnchor>
    <xdr:from>
      <xdr:col>10</xdr:col>
      <xdr:colOff>57824</xdr:colOff>
      <xdr:row>5</xdr:row>
      <xdr:rowOff>175637</xdr:rowOff>
    </xdr:from>
    <xdr:to>
      <xdr:col>13</xdr:col>
      <xdr:colOff>13511</xdr:colOff>
      <xdr:row>9</xdr:row>
      <xdr:rowOff>67553</xdr:rowOff>
    </xdr:to>
    <xdr:sp macro="" textlink="Report!E5">
      <xdr:nvSpPr>
        <xdr:cNvPr id="5" name="TextBox 4">
          <a:extLst>
            <a:ext uri="{FF2B5EF4-FFF2-40B4-BE49-F238E27FC236}">
              <a16:creationId xmlns:a16="http://schemas.microsoft.com/office/drawing/2014/main" id="{C2B6D909-5593-47EE-3877-5D84103362F8}"/>
            </a:ext>
          </a:extLst>
        </xdr:cNvPr>
        <xdr:cNvSpPr txBox="1"/>
      </xdr:nvSpPr>
      <xdr:spPr>
        <a:xfrm>
          <a:off x="6137611" y="1121382"/>
          <a:ext cx="1779623" cy="648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0A00CE-0523-4489-91F7-02FB0AF7681C}" type="TxLink">
            <a:rPr lang="en-US" sz="2800" b="1" i="0" u="none" strike="noStrike">
              <a:solidFill>
                <a:srgbClr val="7030A0"/>
              </a:solidFill>
              <a:latin typeface="Aptos Narrow"/>
              <a:ea typeface="+mn-ea"/>
              <a:cs typeface="+mn-cs"/>
            </a:rPr>
            <a:pPr marL="0" indent="0"/>
            <a:t> ₹ 2,14,024 </a:t>
          </a:fld>
          <a:endParaRPr lang="en-IN" sz="2800" b="1" i="0" u="none" strike="noStrike">
            <a:solidFill>
              <a:srgbClr val="7030A0"/>
            </a:solidFill>
            <a:latin typeface="Aptos Narrow"/>
            <a:ea typeface="+mn-ea"/>
            <a:cs typeface="+mn-cs"/>
          </a:endParaRPr>
        </a:p>
      </xdr:txBody>
    </xdr:sp>
    <xdr:clientData/>
  </xdr:twoCellAnchor>
  <xdr:twoCellAnchor>
    <xdr:from>
      <xdr:col>17</xdr:col>
      <xdr:colOff>426394</xdr:colOff>
      <xdr:row>5</xdr:row>
      <xdr:rowOff>148618</xdr:rowOff>
    </xdr:from>
    <xdr:to>
      <xdr:col>20</xdr:col>
      <xdr:colOff>202660</xdr:colOff>
      <xdr:row>8</xdr:row>
      <xdr:rowOff>142672</xdr:rowOff>
    </xdr:to>
    <xdr:sp macro="" textlink="Report!I5">
      <xdr:nvSpPr>
        <xdr:cNvPr id="6" name="TextBox 5">
          <a:extLst>
            <a:ext uri="{FF2B5EF4-FFF2-40B4-BE49-F238E27FC236}">
              <a16:creationId xmlns:a16="http://schemas.microsoft.com/office/drawing/2014/main" id="{3A363F0C-0185-0FDD-7746-7BDD866EA654}"/>
            </a:ext>
          </a:extLst>
        </xdr:cNvPr>
        <xdr:cNvSpPr txBox="1"/>
      </xdr:nvSpPr>
      <xdr:spPr>
        <a:xfrm>
          <a:off x="10762032" y="1094363"/>
          <a:ext cx="1600202" cy="56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5FAF7C-521C-4232-86D0-C1A271545EE5}" type="TxLink">
            <a:rPr lang="en-US" sz="2800" b="1" i="0" u="none" strike="noStrike">
              <a:solidFill>
                <a:schemeClr val="bg2">
                  <a:lumMod val="25000"/>
                </a:schemeClr>
              </a:solidFill>
              <a:latin typeface="Aptos Narrow"/>
              <a:ea typeface="+mn-ea"/>
              <a:cs typeface="+mn-cs"/>
            </a:rPr>
            <a:pPr marL="0" indent="0"/>
            <a:t> ₹ 1,775 </a:t>
          </a:fld>
          <a:endParaRPr lang="en-IN" sz="2800" b="1" i="0" u="none" strike="noStrike">
            <a:solidFill>
              <a:schemeClr val="bg2">
                <a:lumMod val="25000"/>
              </a:schemeClr>
            </a:solidFill>
            <a:latin typeface="Aptos Narrow"/>
            <a:ea typeface="+mn-ea"/>
            <a:cs typeface="+mn-cs"/>
          </a:endParaRPr>
        </a:p>
      </xdr:txBody>
    </xdr:sp>
    <xdr:clientData/>
  </xdr:twoCellAnchor>
  <xdr:twoCellAnchor>
    <xdr:from>
      <xdr:col>22</xdr:col>
      <xdr:colOff>129163</xdr:colOff>
      <xdr:row>5</xdr:row>
      <xdr:rowOff>135106</xdr:rowOff>
    </xdr:from>
    <xdr:to>
      <xdr:col>23</xdr:col>
      <xdr:colOff>372354</xdr:colOff>
      <xdr:row>8</xdr:row>
      <xdr:rowOff>88630</xdr:rowOff>
    </xdr:to>
    <xdr:sp macro="" textlink="Report!Q4">
      <xdr:nvSpPr>
        <xdr:cNvPr id="7" name="TextBox 6">
          <a:extLst>
            <a:ext uri="{FF2B5EF4-FFF2-40B4-BE49-F238E27FC236}">
              <a16:creationId xmlns:a16="http://schemas.microsoft.com/office/drawing/2014/main" id="{5D5B0EC4-23F8-FB1E-F3B0-BF361C4FB5A8}"/>
            </a:ext>
          </a:extLst>
        </xdr:cNvPr>
        <xdr:cNvSpPr txBox="1"/>
      </xdr:nvSpPr>
      <xdr:spPr>
        <a:xfrm>
          <a:off x="13504695" y="1080851"/>
          <a:ext cx="851170" cy="520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0311F3-6567-4CE6-9122-018BEED61993}" type="TxLink">
            <a:rPr lang="en-US" sz="2800" b="1" i="0" u="none" strike="noStrike">
              <a:solidFill>
                <a:schemeClr val="accent6">
                  <a:lumMod val="50000"/>
                </a:schemeClr>
              </a:solidFill>
              <a:latin typeface="Aptos Narrow"/>
              <a:ea typeface="+mn-ea"/>
              <a:cs typeface="+mn-cs"/>
            </a:rPr>
            <a:pPr marL="0" indent="0"/>
            <a:t>59%</a:t>
          </a:fld>
          <a:endParaRPr lang="en-IN" sz="2800" b="1" i="0" u="none" strike="noStrike">
            <a:solidFill>
              <a:schemeClr val="accent6">
                <a:lumMod val="50000"/>
              </a:schemeClr>
            </a:solidFill>
            <a:latin typeface="Aptos Narrow"/>
            <a:ea typeface="+mn-ea"/>
            <a:cs typeface="+mn-cs"/>
          </a:endParaRPr>
        </a:p>
      </xdr:txBody>
    </xdr:sp>
    <xdr:clientData/>
  </xdr:twoCellAnchor>
  <xdr:twoCellAnchor>
    <xdr:from>
      <xdr:col>14</xdr:col>
      <xdr:colOff>443689</xdr:colOff>
      <xdr:row>5</xdr:row>
      <xdr:rowOff>162126</xdr:rowOff>
    </xdr:from>
    <xdr:to>
      <xdr:col>16</xdr:col>
      <xdr:colOff>78901</xdr:colOff>
      <xdr:row>9</xdr:row>
      <xdr:rowOff>0</xdr:rowOff>
    </xdr:to>
    <xdr:sp macro="" textlink="Report!G5">
      <xdr:nvSpPr>
        <xdr:cNvPr id="8" name="TextBox 7">
          <a:extLst>
            <a:ext uri="{FF2B5EF4-FFF2-40B4-BE49-F238E27FC236}">
              <a16:creationId xmlns:a16="http://schemas.microsoft.com/office/drawing/2014/main" id="{A4D59DAF-311E-4E7B-6C77-7B9A5EF5F08F}"/>
            </a:ext>
          </a:extLst>
        </xdr:cNvPr>
        <xdr:cNvSpPr txBox="1"/>
      </xdr:nvSpPr>
      <xdr:spPr>
        <a:xfrm>
          <a:off x="8947167" y="1059409"/>
          <a:ext cx="849995" cy="5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0BB3EA-065E-4545-9C7D-D518698AD1E4}" type="TxLink">
            <a:rPr lang="en-US" sz="2800" b="1" i="0" u="none" strike="noStrike">
              <a:solidFill>
                <a:schemeClr val="accent2"/>
              </a:solidFill>
              <a:latin typeface="Aptos Narrow"/>
              <a:ea typeface="+mn-ea"/>
              <a:cs typeface="+mn-cs"/>
            </a:rPr>
            <a:pPr marL="0" indent="0"/>
            <a:t>48%</a:t>
          </a:fld>
          <a:endParaRPr lang="en-IN" sz="2800" b="1" i="0" u="none" strike="noStrike">
            <a:solidFill>
              <a:schemeClr val="accent2"/>
            </a:solidFill>
            <a:latin typeface="Aptos Narrow"/>
            <a:ea typeface="+mn-ea"/>
            <a:cs typeface="+mn-cs"/>
          </a:endParaRPr>
        </a:p>
      </xdr:txBody>
    </xdr:sp>
    <xdr:clientData/>
  </xdr:twoCellAnchor>
  <xdr:twoCellAnchor>
    <xdr:from>
      <xdr:col>3</xdr:col>
      <xdr:colOff>283722</xdr:colOff>
      <xdr:row>4</xdr:row>
      <xdr:rowOff>148617</xdr:rowOff>
    </xdr:from>
    <xdr:to>
      <xdr:col>5</xdr:col>
      <xdr:colOff>94573</xdr:colOff>
      <xdr:row>6</xdr:row>
      <xdr:rowOff>162127</xdr:rowOff>
    </xdr:to>
    <xdr:sp macro="" textlink="">
      <xdr:nvSpPr>
        <xdr:cNvPr id="9" name="TextBox 8">
          <a:extLst>
            <a:ext uri="{FF2B5EF4-FFF2-40B4-BE49-F238E27FC236}">
              <a16:creationId xmlns:a16="http://schemas.microsoft.com/office/drawing/2014/main" id="{B28F93CD-1BAA-BB92-4F1A-8BB1A8A0382D}"/>
            </a:ext>
          </a:extLst>
        </xdr:cNvPr>
        <xdr:cNvSpPr txBox="1"/>
      </xdr:nvSpPr>
      <xdr:spPr>
        <a:xfrm>
          <a:off x="2107658" y="905213"/>
          <a:ext cx="1026809" cy="391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Total Policy</a:t>
          </a:r>
        </a:p>
      </xdr:txBody>
    </xdr:sp>
    <xdr:clientData/>
  </xdr:twoCellAnchor>
  <xdr:twoCellAnchor>
    <xdr:from>
      <xdr:col>6</xdr:col>
      <xdr:colOff>544208</xdr:colOff>
      <xdr:row>4</xdr:row>
      <xdr:rowOff>138890</xdr:rowOff>
    </xdr:from>
    <xdr:to>
      <xdr:col>9</xdr:col>
      <xdr:colOff>81063</xdr:colOff>
      <xdr:row>6</xdr:row>
      <xdr:rowOff>108085</xdr:rowOff>
    </xdr:to>
    <xdr:sp macro="" textlink="">
      <xdr:nvSpPr>
        <xdr:cNvPr id="10" name="TextBox 9">
          <a:extLst>
            <a:ext uri="{FF2B5EF4-FFF2-40B4-BE49-F238E27FC236}">
              <a16:creationId xmlns:a16="http://schemas.microsoft.com/office/drawing/2014/main" id="{FB97645A-3BF7-125D-3E9B-8BC6E2E30DAE}"/>
            </a:ext>
          </a:extLst>
        </xdr:cNvPr>
        <xdr:cNvSpPr txBox="1"/>
      </xdr:nvSpPr>
      <xdr:spPr>
        <a:xfrm>
          <a:off x="4192080" y="895486"/>
          <a:ext cx="1360792" cy="347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Total Premiums</a:t>
          </a:r>
        </a:p>
      </xdr:txBody>
    </xdr:sp>
    <xdr:clientData/>
  </xdr:twoCellAnchor>
  <xdr:twoCellAnchor>
    <xdr:from>
      <xdr:col>10</xdr:col>
      <xdr:colOff>273995</xdr:colOff>
      <xdr:row>4</xdr:row>
      <xdr:rowOff>138889</xdr:rowOff>
    </xdr:from>
    <xdr:to>
      <xdr:col>12</xdr:col>
      <xdr:colOff>540425</xdr:colOff>
      <xdr:row>6</xdr:row>
      <xdr:rowOff>135105</xdr:rowOff>
    </xdr:to>
    <xdr:sp macro="" textlink="">
      <xdr:nvSpPr>
        <xdr:cNvPr id="11" name="TextBox 10">
          <a:extLst>
            <a:ext uri="{FF2B5EF4-FFF2-40B4-BE49-F238E27FC236}">
              <a16:creationId xmlns:a16="http://schemas.microsoft.com/office/drawing/2014/main" id="{400B6F5A-E2A6-E1C7-2D71-11FF162841EF}"/>
            </a:ext>
          </a:extLst>
        </xdr:cNvPr>
        <xdr:cNvSpPr txBox="1"/>
      </xdr:nvSpPr>
      <xdr:spPr>
        <a:xfrm>
          <a:off x="6353782" y="895485"/>
          <a:ext cx="1482388" cy="374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Total Claims</a:t>
          </a:r>
          <a:r>
            <a:rPr lang="en-IN" sz="1400" baseline="0">
              <a:solidFill>
                <a:srgbClr val="002060"/>
              </a:solidFill>
            </a:rPr>
            <a:t> Paid</a:t>
          </a:r>
          <a:endParaRPr lang="en-IN" sz="1400">
            <a:solidFill>
              <a:srgbClr val="002060"/>
            </a:solidFill>
          </a:endParaRPr>
        </a:p>
      </xdr:txBody>
    </xdr:sp>
    <xdr:clientData/>
  </xdr:twoCellAnchor>
  <xdr:twoCellAnchor>
    <xdr:from>
      <xdr:col>17</xdr:col>
      <xdr:colOff>466927</xdr:colOff>
      <xdr:row>4</xdr:row>
      <xdr:rowOff>102142</xdr:rowOff>
    </xdr:from>
    <xdr:to>
      <xdr:col>20</xdr:col>
      <xdr:colOff>229681</xdr:colOff>
      <xdr:row>6</xdr:row>
      <xdr:rowOff>0</xdr:rowOff>
    </xdr:to>
    <xdr:sp macro="" textlink="">
      <xdr:nvSpPr>
        <xdr:cNvPr id="12" name="TextBox 11">
          <a:extLst>
            <a:ext uri="{FF2B5EF4-FFF2-40B4-BE49-F238E27FC236}">
              <a16:creationId xmlns:a16="http://schemas.microsoft.com/office/drawing/2014/main" id="{E7EBA4B2-43B9-29C2-189E-2A20BD1A59E7}"/>
            </a:ext>
          </a:extLst>
        </xdr:cNvPr>
        <xdr:cNvSpPr txBox="1"/>
      </xdr:nvSpPr>
      <xdr:spPr>
        <a:xfrm>
          <a:off x="10802565" y="858738"/>
          <a:ext cx="1586690" cy="276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Average</a:t>
          </a:r>
          <a:r>
            <a:rPr lang="en-IN" sz="1400" baseline="0">
              <a:solidFill>
                <a:srgbClr val="002060"/>
              </a:solidFill>
            </a:rPr>
            <a:t> Premium</a:t>
          </a:r>
          <a:endParaRPr lang="en-IN" sz="1400">
            <a:solidFill>
              <a:srgbClr val="002060"/>
            </a:solidFill>
          </a:endParaRPr>
        </a:p>
      </xdr:txBody>
    </xdr:sp>
    <xdr:clientData/>
  </xdr:twoCellAnchor>
  <xdr:twoCellAnchor>
    <xdr:from>
      <xdr:col>14</xdr:col>
      <xdr:colOff>277778</xdr:colOff>
      <xdr:row>4</xdr:row>
      <xdr:rowOff>129161</xdr:rowOff>
    </xdr:from>
    <xdr:to>
      <xdr:col>16</xdr:col>
      <xdr:colOff>418829</xdr:colOff>
      <xdr:row>6</xdr:row>
      <xdr:rowOff>121596</xdr:rowOff>
    </xdr:to>
    <xdr:sp macro="" textlink="">
      <xdr:nvSpPr>
        <xdr:cNvPr id="13" name="TextBox 12">
          <a:extLst>
            <a:ext uri="{FF2B5EF4-FFF2-40B4-BE49-F238E27FC236}">
              <a16:creationId xmlns:a16="http://schemas.microsoft.com/office/drawing/2014/main" id="{067AB4DF-7260-70D8-5721-312B477D5254}"/>
            </a:ext>
          </a:extLst>
        </xdr:cNvPr>
        <xdr:cNvSpPr txBox="1"/>
      </xdr:nvSpPr>
      <xdr:spPr>
        <a:xfrm>
          <a:off x="8789480" y="885757"/>
          <a:ext cx="1357009" cy="370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Claims</a:t>
          </a:r>
          <a:r>
            <a:rPr lang="en-IN" sz="1400" baseline="0">
              <a:solidFill>
                <a:srgbClr val="002060"/>
              </a:solidFill>
            </a:rPr>
            <a:t> Ratio</a:t>
          </a:r>
          <a:endParaRPr lang="en-IN" sz="1400">
            <a:solidFill>
              <a:srgbClr val="002060"/>
            </a:solidFill>
          </a:endParaRPr>
        </a:p>
      </xdr:txBody>
    </xdr:sp>
    <xdr:clientData/>
  </xdr:twoCellAnchor>
  <xdr:twoCellAnchor>
    <xdr:from>
      <xdr:col>21</xdr:col>
      <xdr:colOff>503676</xdr:colOff>
      <xdr:row>4</xdr:row>
      <xdr:rowOff>84847</xdr:rowOff>
    </xdr:from>
    <xdr:to>
      <xdr:col>24</xdr:col>
      <xdr:colOff>67554</xdr:colOff>
      <xdr:row>6</xdr:row>
      <xdr:rowOff>94574</xdr:rowOff>
    </xdr:to>
    <xdr:sp macro="" textlink="">
      <xdr:nvSpPr>
        <xdr:cNvPr id="14" name="TextBox 13">
          <a:extLst>
            <a:ext uri="{FF2B5EF4-FFF2-40B4-BE49-F238E27FC236}">
              <a16:creationId xmlns:a16="http://schemas.microsoft.com/office/drawing/2014/main" id="{7461DDF9-E292-C642-722D-857AD36C39E3}"/>
            </a:ext>
          </a:extLst>
        </xdr:cNvPr>
        <xdr:cNvSpPr txBox="1"/>
      </xdr:nvSpPr>
      <xdr:spPr>
        <a:xfrm>
          <a:off x="13271229" y="841443"/>
          <a:ext cx="1387814" cy="388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Approval</a:t>
          </a:r>
          <a:r>
            <a:rPr lang="en-IN" sz="1400" baseline="0">
              <a:solidFill>
                <a:srgbClr val="002060"/>
              </a:solidFill>
            </a:rPr>
            <a:t> Rate</a:t>
          </a:r>
          <a:endParaRPr lang="en-IN" sz="1400">
            <a:solidFill>
              <a:srgbClr val="002060"/>
            </a:solidFill>
          </a:endParaRPr>
        </a:p>
      </xdr:txBody>
    </xdr:sp>
    <xdr:clientData/>
  </xdr:twoCellAnchor>
  <xdr:twoCellAnchor>
    <xdr:from>
      <xdr:col>3</xdr:col>
      <xdr:colOff>341550</xdr:colOff>
      <xdr:row>13</xdr:row>
      <xdr:rowOff>30804</xdr:rowOff>
    </xdr:from>
    <xdr:to>
      <xdr:col>4</xdr:col>
      <xdr:colOff>135106</xdr:colOff>
      <xdr:row>15</xdr:row>
      <xdr:rowOff>175638</xdr:rowOff>
    </xdr:to>
    <xdr:sp macro="" textlink="Report!S5">
      <xdr:nvSpPr>
        <xdr:cNvPr id="15" name="TextBox 14">
          <a:extLst>
            <a:ext uri="{FF2B5EF4-FFF2-40B4-BE49-F238E27FC236}">
              <a16:creationId xmlns:a16="http://schemas.microsoft.com/office/drawing/2014/main" id="{658D0DE1-C479-572B-D00E-F05F218492AA}"/>
            </a:ext>
          </a:extLst>
        </xdr:cNvPr>
        <xdr:cNvSpPr txBox="1"/>
      </xdr:nvSpPr>
      <xdr:spPr>
        <a:xfrm>
          <a:off x="2165486" y="2489740"/>
          <a:ext cx="401535" cy="52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962BDB-F9F6-44C4-BD00-43B0D0EAE382}" type="TxLink">
            <a:rPr lang="en-US" sz="2800" b="1" i="0" u="none" strike="noStrike">
              <a:solidFill>
                <a:srgbClr val="002060"/>
              </a:solidFill>
              <a:latin typeface="Aptos Narrow"/>
              <a:ea typeface="+mn-ea"/>
              <a:cs typeface="+mn-cs"/>
            </a:rPr>
            <a:pPr marL="0" indent="0"/>
            <a:t>8</a:t>
          </a:fld>
          <a:endParaRPr lang="en-IN" sz="2800" b="1" i="0" u="none" strike="noStrike">
            <a:solidFill>
              <a:srgbClr val="002060"/>
            </a:solidFill>
            <a:latin typeface="Aptos Narrow"/>
            <a:ea typeface="+mn-ea"/>
            <a:cs typeface="+mn-cs"/>
          </a:endParaRPr>
        </a:p>
      </xdr:txBody>
    </xdr:sp>
    <xdr:clientData/>
  </xdr:twoCellAnchor>
  <xdr:twoCellAnchor>
    <xdr:from>
      <xdr:col>3</xdr:col>
      <xdr:colOff>183206</xdr:colOff>
      <xdr:row>19</xdr:row>
      <xdr:rowOff>115650</xdr:rowOff>
    </xdr:from>
    <xdr:to>
      <xdr:col>4</xdr:col>
      <xdr:colOff>426397</xdr:colOff>
      <xdr:row>23</xdr:row>
      <xdr:rowOff>34586</xdr:rowOff>
    </xdr:to>
    <xdr:sp macro="" textlink="Report!U5">
      <xdr:nvSpPr>
        <xdr:cNvPr id="16" name="TextBox 15">
          <a:extLst>
            <a:ext uri="{FF2B5EF4-FFF2-40B4-BE49-F238E27FC236}">
              <a16:creationId xmlns:a16="http://schemas.microsoft.com/office/drawing/2014/main" id="{82BEB053-6E7C-B757-B855-B065F525E89E}"/>
            </a:ext>
          </a:extLst>
        </xdr:cNvPr>
        <xdr:cNvSpPr txBox="1"/>
      </xdr:nvSpPr>
      <xdr:spPr>
        <a:xfrm>
          <a:off x="2007142" y="3709480"/>
          <a:ext cx="851170" cy="675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B27884-0684-495C-9176-DDB4B1A4D0DC}" type="TxLink">
            <a:rPr lang="en-US" sz="2800" b="1" i="0" u="none" strike="noStrike">
              <a:solidFill>
                <a:schemeClr val="accent2"/>
              </a:solidFill>
              <a:latin typeface="Aptos Narrow"/>
              <a:ea typeface="+mn-ea"/>
              <a:cs typeface="+mn-cs"/>
            </a:rPr>
            <a:pPr marL="0" indent="0"/>
            <a:t>49%</a:t>
          </a:fld>
          <a:endParaRPr lang="en-IN" sz="2800" b="1" i="0" u="none" strike="noStrike">
            <a:solidFill>
              <a:schemeClr val="accent2"/>
            </a:solidFill>
            <a:latin typeface="Aptos Narrow"/>
            <a:ea typeface="+mn-ea"/>
            <a:cs typeface="+mn-cs"/>
          </a:endParaRPr>
        </a:p>
      </xdr:txBody>
    </xdr:sp>
    <xdr:clientData/>
  </xdr:twoCellAnchor>
  <xdr:twoCellAnchor>
    <xdr:from>
      <xdr:col>2</xdr:col>
      <xdr:colOff>584739</xdr:colOff>
      <xdr:row>11</xdr:row>
      <xdr:rowOff>138890</xdr:rowOff>
    </xdr:from>
    <xdr:to>
      <xdr:col>4</xdr:col>
      <xdr:colOff>580957</xdr:colOff>
      <xdr:row>13</xdr:row>
      <xdr:rowOff>135107</xdr:rowOff>
    </xdr:to>
    <xdr:sp macro="" textlink="">
      <xdr:nvSpPr>
        <xdr:cNvPr id="17" name="TextBox 16">
          <a:extLst>
            <a:ext uri="{FF2B5EF4-FFF2-40B4-BE49-F238E27FC236}">
              <a16:creationId xmlns:a16="http://schemas.microsoft.com/office/drawing/2014/main" id="{FECBF8A1-40AC-D717-5A26-350CDC899AC5}"/>
            </a:ext>
          </a:extLst>
        </xdr:cNvPr>
        <xdr:cNvSpPr txBox="1"/>
      </xdr:nvSpPr>
      <xdr:spPr>
        <a:xfrm>
          <a:off x="1800696" y="2219528"/>
          <a:ext cx="1212176" cy="37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Active</a:t>
          </a:r>
          <a:r>
            <a:rPr lang="en-IN" sz="1400" baseline="0">
              <a:solidFill>
                <a:srgbClr val="002060"/>
              </a:solidFill>
            </a:rPr>
            <a:t> Agents</a:t>
          </a:r>
          <a:endParaRPr lang="en-IN" sz="1400">
            <a:solidFill>
              <a:srgbClr val="002060"/>
            </a:solidFill>
          </a:endParaRPr>
        </a:p>
      </xdr:txBody>
    </xdr:sp>
    <xdr:clientData/>
  </xdr:twoCellAnchor>
  <xdr:twoCellAnchor>
    <xdr:from>
      <xdr:col>2</xdr:col>
      <xdr:colOff>372351</xdr:colOff>
      <xdr:row>18</xdr:row>
      <xdr:rowOff>61609</xdr:rowOff>
    </xdr:from>
    <xdr:to>
      <xdr:col>5</xdr:col>
      <xdr:colOff>351275</xdr:colOff>
      <xdr:row>20</xdr:row>
      <xdr:rowOff>0</xdr:rowOff>
    </xdr:to>
    <xdr:sp macro="" textlink="">
      <xdr:nvSpPr>
        <xdr:cNvPr id="18" name="TextBox 17">
          <a:extLst>
            <a:ext uri="{FF2B5EF4-FFF2-40B4-BE49-F238E27FC236}">
              <a16:creationId xmlns:a16="http://schemas.microsoft.com/office/drawing/2014/main" id="{A7234324-42CF-9378-C58A-D9D8BABB137B}"/>
            </a:ext>
          </a:extLst>
        </xdr:cNvPr>
        <xdr:cNvSpPr txBox="1"/>
      </xdr:nvSpPr>
      <xdr:spPr>
        <a:xfrm>
          <a:off x="1588308" y="3466290"/>
          <a:ext cx="1802861" cy="316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02060"/>
              </a:solidFill>
            </a:rPr>
            <a:t>Policies</a:t>
          </a:r>
          <a:r>
            <a:rPr lang="en-IN" sz="1400" baseline="0">
              <a:solidFill>
                <a:srgbClr val="002060"/>
              </a:solidFill>
            </a:rPr>
            <a:t> With Claim</a:t>
          </a:r>
          <a:endParaRPr lang="en-IN" sz="1400">
            <a:solidFill>
              <a:srgbClr val="002060"/>
            </a:solidFill>
          </a:endParaRPr>
        </a:p>
      </xdr:txBody>
    </xdr:sp>
    <xdr:clientData/>
  </xdr:twoCellAnchor>
  <xdr:twoCellAnchor>
    <xdr:from>
      <xdr:col>5</xdr:col>
      <xdr:colOff>345331</xdr:colOff>
      <xdr:row>11</xdr:row>
      <xdr:rowOff>54043</xdr:rowOff>
    </xdr:from>
    <xdr:to>
      <xdr:col>12</xdr:col>
      <xdr:colOff>108085</xdr:colOff>
      <xdr:row>25</xdr:row>
      <xdr:rowOff>27022</xdr:rowOff>
    </xdr:to>
    <xdr:graphicFrame macro="">
      <xdr:nvGraphicFramePr>
        <xdr:cNvPr id="19" name="Chart 18">
          <a:extLst>
            <a:ext uri="{FF2B5EF4-FFF2-40B4-BE49-F238E27FC236}">
              <a16:creationId xmlns:a16="http://schemas.microsoft.com/office/drawing/2014/main" id="{7402D4F0-FC82-4E2C-9983-F7D51D363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270463</xdr:colOff>
      <xdr:row>10</xdr:row>
      <xdr:rowOff>152871</xdr:rowOff>
    </xdr:from>
    <xdr:to>
      <xdr:col>18</xdr:col>
      <xdr:colOff>317500</xdr:colOff>
      <xdr:row>25</xdr:row>
      <xdr:rowOff>105833</xdr:rowOff>
    </xdr:to>
    <xdr:graphicFrame macro="">
      <xdr:nvGraphicFramePr>
        <xdr:cNvPr id="20" name="Chart 19">
          <a:extLst>
            <a:ext uri="{FF2B5EF4-FFF2-40B4-BE49-F238E27FC236}">
              <a16:creationId xmlns:a16="http://schemas.microsoft.com/office/drawing/2014/main" id="{D7CD4714-DEBF-44B7-80C2-64A96E68B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344331</xdr:colOff>
      <xdr:row>11</xdr:row>
      <xdr:rowOff>3891</xdr:rowOff>
    </xdr:from>
    <xdr:to>
      <xdr:col>24</xdr:col>
      <xdr:colOff>282222</xdr:colOff>
      <xdr:row>25</xdr:row>
      <xdr:rowOff>164629</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B23B8BC5-A9D5-4689-9520-0E85D3AB0E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317131" y="2029541"/>
              <a:ext cx="3595491" cy="27388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403128</xdr:colOff>
      <xdr:row>26</xdr:row>
      <xdr:rowOff>168521</xdr:rowOff>
    </xdr:from>
    <xdr:to>
      <xdr:col>8</xdr:col>
      <xdr:colOff>1</xdr:colOff>
      <xdr:row>40</xdr:row>
      <xdr:rowOff>176389</xdr:rowOff>
    </xdr:to>
    <xdr:graphicFrame macro="">
      <xdr:nvGraphicFramePr>
        <xdr:cNvPr id="22" name="Chart 21">
          <a:extLst>
            <a:ext uri="{FF2B5EF4-FFF2-40B4-BE49-F238E27FC236}">
              <a16:creationId xmlns:a16="http://schemas.microsoft.com/office/drawing/2014/main" id="{CC3C0110-2166-484F-8378-93F770FBD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133027</xdr:colOff>
      <xdr:row>26</xdr:row>
      <xdr:rowOff>118913</xdr:rowOff>
    </xdr:from>
    <xdr:to>
      <xdr:col>13</xdr:col>
      <xdr:colOff>285897</xdr:colOff>
      <xdr:row>41</xdr:row>
      <xdr:rowOff>39891</xdr:rowOff>
    </xdr:to>
    <xdr:graphicFrame macro="">
      <xdr:nvGraphicFramePr>
        <xdr:cNvPr id="24" name="Chart 23">
          <a:extLst>
            <a:ext uri="{FF2B5EF4-FFF2-40B4-BE49-F238E27FC236}">
              <a16:creationId xmlns:a16="http://schemas.microsoft.com/office/drawing/2014/main" id="{20B8338E-D3AD-4B02-B3C0-77BFD106C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424074</xdr:colOff>
      <xdr:row>26</xdr:row>
      <xdr:rowOff>112298</xdr:rowOff>
    </xdr:from>
    <xdr:to>
      <xdr:col>19</xdr:col>
      <xdr:colOff>79375</xdr:colOff>
      <xdr:row>40</xdr:row>
      <xdr:rowOff>89297</xdr:rowOff>
    </xdr:to>
    <xdr:graphicFrame macro="">
      <xdr:nvGraphicFramePr>
        <xdr:cNvPr id="25" name="Chart 24">
          <a:extLst>
            <a:ext uri="{FF2B5EF4-FFF2-40B4-BE49-F238E27FC236}">
              <a16:creationId xmlns:a16="http://schemas.microsoft.com/office/drawing/2014/main" id="{AAB50963-8F8C-4B09-93F7-7DF3A3E13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525859</xdr:colOff>
      <xdr:row>26</xdr:row>
      <xdr:rowOff>138908</xdr:rowOff>
    </xdr:from>
    <xdr:to>
      <xdr:col>25</xdr:col>
      <xdr:colOff>9923</xdr:colOff>
      <xdr:row>41</xdr:row>
      <xdr:rowOff>9922</xdr:rowOff>
    </xdr:to>
    <xdr:graphicFrame macro="">
      <xdr:nvGraphicFramePr>
        <xdr:cNvPr id="26" name="Chart 25">
          <a:extLst>
            <a:ext uri="{FF2B5EF4-FFF2-40B4-BE49-F238E27FC236}">
              <a16:creationId xmlns:a16="http://schemas.microsoft.com/office/drawing/2014/main" id="{36C4F42F-8B1B-484B-B006-2CC0B8B68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582085</xdr:colOff>
      <xdr:row>0</xdr:row>
      <xdr:rowOff>111125</xdr:rowOff>
    </xdr:from>
    <xdr:to>
      <xdr:col>24</xdr:col>
      <xdr:colOff>327121</xdr:colOff>
      <xdr:row>2</xdr:row>
      <xdr:rowOff>142875</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1C4BA9CD-0593-9B65-AA05-63B78EC9DEB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144377" y="111125"/>
              <a:ext cx="2787744" cy="402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1550925" backgroundQuery="1" createdVersion="8" refreshedVersion="8" minRefreshableVersion="3" recordCount="0" supportSubquery="1" supportAdvancedDrill="1" xr:uid="{1AA192D0-605B-47CF-8731-245829D803A7}">
  <cacheSource type="external" connectionId="2"/>
  <cacheFields count="3">
    <cacheField name="[Measures].[Count of Policy_ID]" caption="Count of Policy_ID" numFmtId="0" hierarchy="16" level="32767"/>
    <cacheField name="[insurance_data].[Month].[Month]" caption="Month" numFmtId="0" hierarchy="3" level="1">
      <sharedItems count="12">
        <s v="April"/>
        <s v="August"/>
        <s v="December"/>
        <s v="February"/>
        <s v="January"/>
        <s v="July"/>
        <s v="June"/>
        <s v="March"/>
        <s v="May"/>
        <s v="November"/>
        <s v="October"/>
        <s v="September"/>
      </sharedItems>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2" memberValueDatatype="130" unbalanced="0"/>
    <cacheHierarchy uniqueName="[insurance_data].[Policy_Date]" caption="Policy_Date" attribute="1" defaultMemberUniqueName="[insurance_data].[Policy_Date].[All]" allUniqueName="[insurance_data].[Policy_Date].[All]" dimensionUniqueName="[insurance_data]" displayFolder="" count="2"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2" memberValueDatatype="130" unbalanced="0">
      <fieldsUsage count="2">
        <fieldUsage x="-1"/>
        <fieldUsage x="1"/>
      </fieldsUsage>
    </cacheHierarchy>
    <cacheHierarchy uniqueName="[insurance_data].[Policy_Type]" caption="Policy_Type" attribute="1" defaultMemberUniqueName="[insurance_data].[Policy_Type].[All]" allUniqueName="[insurance_data].[Policy_Type].[All]" dimensionUniqueName="[insurance_data]" displayFolder="" count="2" memberValueDatatype="130" unbalanced="0"/>
    <cacheHierarchy uniqueName="[insurance_data].[Region]" caption="Region" attribute="1" defaultMemberUniqueName="[insurance_data].[Region].[All]" allUniqueName="[insurance_data].[Region].[All]" dimensionUniqueName="[insurance_data]" displayFolder="" count="2" memberValueDatatype="130" unbalanced="0"/>
    <cacheHierarchy uniqueName="[insurance_data].[Risk_Level]" caption="Risk_Level" attribute="1" defaultMemberUniqueName="[insurance_data].[Risk_Level].[All]" allUniqueName="[insurance_data].[Risk_Level].[All]" dimensionUniqueName="[insurance_data]" displayFolder="" count="2" memberValueDatatype="130" unbalanced="0"/>
    <cacheHierarchy uniqueName="[insurance_data].[Annual_Premium]" caption="Annual_Premium" attribute="1" defaultMemberUniqueName="[insurance_data].[Annual_Premium].[All]" allUniqueName="[insurance_data].[Annual_Premium].[All]" dimensionUniqueName="[insurance_data]" displayFolder="" count="2" memberValueDatatype="5" unbalanced="0"/>
    <cacheHierarchy uniqueName="[insurance_data].[Claim_Amount]" caption="Claim_Amount" attribute="1" defaultMemberUniqueName="[insurance_data].[Claim_Amount].[All]" allUniqueName="[insurance_data].[Claim_Amount].[All]" dimensionUniqueName="[insurance_data]" displayFolder="" count="2" memberValueDatatype="5" unbalanced="0"/>
    <cacheHierarchy uniqueName="[insurance_data].[Claim_Status]" caption="Claim_Status" attribute="1" defaultMemberUniqueName="[insurance_data].[Claim_Status].[All]" allUniqueName="[insurance_data].[Claim_Status].[All]" dimensionUniqueName="[insurance_data]" displayFolder="" count="2" memberValueDatatype="130" unbalanced="0"/>
    <cacheHierarchy uniqueName="[insurance_data].[Agent_Name]" caption="Agent_Name" attribute="1" defaultMemberUniqueName="[insurance_data].[Agent_Name].[All]" allUniqueName="[insurance_data].[Agent_Name].[All]" dimensionUniqueName="[insurance_data]" displayFolder="" count="2" memberValueDatatype="130" unbalanced="0"/>
    <cacheHierarchy uniqueName="[insurance_data].[Customer_Age]" caption="Customer_Age" attribute="1" defaultMemberUniqueName="[insurance_data].[Customer_Age].[All]" allUniqueName="[insurance_data].[Customer_Age].[All]" dimensionUniqueName="[insurance_data]" displayFolder="" count="2"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2" memberValueDatatype="20" unbalanced="0"/>
    <cacheHierarchy uniqueName="[insurance_data].[Has_Claim]" caption="Has_Claim" attribute="1" defaultMemberUniqueName="[insurance_data].[Has_Claim].[All]" allUniqueName="[insurance_data].[Has_Claim].[All]" dimensionUniqueName="[insurance_data]" displayFolder="" count="2"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178241" backgroundQuery="1" createdVersion="8" refreshedVersion="8" minRefreshableVersion="3" recordCount="0" supportSubquery="1" supportAdvancedDrill="1" xr:uid="{2297D3A9-2322-4C26-85F5-B1D213C1D738}">
  <cacheSource type="external" connectionId="2"/>
  <cacheFields count="2">
    <cacheField name="[Measures].[Sum of Annual_Premium]" caption="Sum of Annual_Premium" numFmtId="0" hierarchy="17" level="32767"/>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1"/>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2013887" backgroundQuery="1" createdVersion="8" refreshedVersion="8" minRefreshableVersion="3" recordCount="0" supportSubquery="1" supportAdvancedDrill="1" xr:uid="{5F2B62FD-0775-4595-AA78-1023E3858A0C}">
  <cacheSource type="external" connectionId="2"/>
  <cacheFields count="2">
    <cacheField name="[Measures].[Sum of Claim_Amount]" caption="Sum of Claim_Amount" numFmtId="0" hierarchy="18" level="32767"/>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1"/>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236111" backgroundQuery="1" createdVersion="8" refreshedVersion="8" minRefreshableVersion="3" recordCount="0" supportSubquery="1" supportAdvancedDrill="1" xr:uid="{8B66280E-A89A-4A9F-BCA0-F987CD7E5D8D}">
  <cacheSource type="external" connectionId="2"/>
  <cacheFields count="2">
    <cacheField name="[Measures].[Average of Annual_Premium]" caption="Average of Annual_Premium" numFmtId="0" hierarchy="19" level="32767"/>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1"/>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2592595" backgroundQuery="1" createdVersion="8" refreshedVersion="8" minRefreshableVersion="3" recordCount="0" supportSubquery="1" supportAdvancedDrill="1" xr:uid="{03261656-9C3B-49ED-B152-76265E0E31CA}">
  <cacheSource type="external" connectionId="2"/>
  <cacheFields count="3">
    <cacheField name="[Measures].[Count of Policy_ID]" caption="Count of Policy_ID" numFmtId="0" hierarchy="16" level="32767"/>
    <cacheField name="[insurance_data].[Has_Claim].[Has_Claim]" caption="Has_Claim" numFmtId="0" hierarchy="13" level="1">
      <sharedItems containsSemiMixedTypes="0" containsNonDate="0" containsString="0"/>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2" memberValueDatatype="130" unbalanced="0">
      <fieldsUsage count="2">
        <fieldUsage x="-1"/>
        <fieldUsage x="1"/>
      </fieldsUsage>
    </cacheHierarchy>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2824072" backgroundQuery="1" createdVersion="8" refreshedVersion="8" minRefreshableVersion="3" recordCount="0" supportSubquery="1" supportAdvancedDrill="1" xr:uid="{2156B1E6-D7ED-4D12-8002-6144E2C0FF00}">
  <cacheSource type="external" connectionId="2"/>
  <cacheFields count="3">
    <cacheField name="[Measures].[Count of Policy_ID]" caption="Count of Policy_ID" numFmtId="0" hierarchy="16" level="32767"/>
    <cacheField name="[insurance_data].[Claim_Status].[Claim_Status]" caption="Claim_Status" numFmtId="0" hierarchy="9" level="1">
      <sharedItems containsSemiMixedTypes="0" containsNonDate="0" containsString="0"/>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2" memberValueDatatype="130" unbalanced="0">
      <fieldsUsage count="2">
        <fieldUsage x="-1"/>
        <fieldUsage x="1"/>
      </fieldsUsage>
    </cacheHierarchy>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2939818" backgroundQuery="1" createdVersion="8" refreshedVersion="8" minRefreshableVersion="3" recordCount="0" supportSubquery="1" supportAdvancedDrill="1" xr:uid="{10936C2F-5637-4756-85D5-1F531ABA56B2}">
  <cacheSource type="external" connectionId="2"/>
  <cacheFields count="2">
    <cacheField name="[Measures].[Distinct Count of Agent_Name]" caption="Distinct Count of Agent_Name" numFmtId="0" hierarchy="21" level="32767"/>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1"/>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3518519" backgroundQuery="1" createdVersion="8" refreshedVersion="8" minRefreshableVersion="3" recordCount="0" supportSubquery="1" supportAdvancedDrill="1" xr:uid="{941B8A25-C8BD-41BC-9CC6-42F12694D247}">
  <cacheSource type="external" connectionId="2"/>
  <cacheFields count="4">
    <cacheField name="[insurance_data].[Policy_Type].[Policy_Type]" caption="Policy_Type" numFmtId="0" hierarchy="4" level="1">
      <sharedItems count="5">
        <s v="Auto"/>
        <s v="Health"/>
        <s v="Home"/>
        <s v="Life"/>
        <s v="Travel"/>
      </sharedItems>
    </cacheField>
    <cacheField name="[Measures].[Average of Annual_Premium]" caption="Average of Annual_Premium" numFmtId="0" hierarchy="19" level="32767"/>
    <cacheField name="[Measures].[Average of Claim_Amount]" caption="Average of Claim_Amount" numFmtId="0" hierarchy="22" level="32767"/>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3"/>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2" memberValueDatatype="130" unbalanced="0">
      <fieldsUsage count="2">
        <fieldUsage x="-1"/>
        <fieldUsage x="0"/>
      </fieldsUsage>
    </cacheHierarchy>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4097219" backgroundQuery="1" createdVersion="8" refreshedVersion="8" minRefreshableVersion="3" recordCount="0" supportSubquery="1" supportAdvancedDrill="1" xr:uid="{B2D4C78E-6232-4448-B92C-9F4B4949E3C7}">
  <cacheSource type="external" connectionId="2"/>
  <cacheFields count="3">
    <cacheField name="[Measures].[Count of Policy_ID]" caption="Count of Policy_ID" numFmtId="0" hierarchy="16" level="32767"/>
    <cacheField name="[insurance_data].[Risk_Level].[Risk_Level]" caption="Risk_Level" numFmtId="0" hierarchy="6" level="1">
      <sharedItems count="3">
        <s v="High"/>
        <s v="Low"/>
        <s v="Medium"/>
      </sharedItems>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2" memberValueDatatype="130" unbalanced="0">
      <fieldsUsage count="2">
        <fieldUsage x="-1"/>
        <fieldUsage x="1"/>
      </fieldsUsage>
    </cacheHierarchy>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4675927" backgroundQuery="1" createdVersion="8" refreshedVersion="8" minRefreshableVersion="3" recordCount="0" supportSubquery="1" supportAdvancedDrill="1" xr:uid="{A57CFE6E-D6ED-4B65-B088-A630B2BF92A1}">
  <cacheSource type="external" connectionId="2"/>
  <cacheFields count="3">
    <cacheField name="[Measures].[Sum of Claim_Amount]" caption="Sum of Claim_Amount" numFmtId="0" hierarchy="18" level="32767"/>
    <cacheField name="[insurance_data].[Region].[Region]" caption="Region" numFmtId="0" hierarchy="5" level="1">
      <sharedItems count="5">
        <s v="Central"/>
        <s v="East"/>
        <s v="North"/>
        <s v="South"/>
        <s v="West"/>
      </sharedItems>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2" memberValueDatatype="130" unbalanced="0">
      <fieldsUsage count="2">
        <fieldUsage x="-1"/>
        <fieldUsage x="1"/>
      </fieldsUsage>
    </cacheHierarchy>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5370374" backgroundQuery="1" createdVersion="8" refreshedVersion="8" minRefreshableVersion="3" recordCount="0" supportSubquery="1" supportAdvancedDrill="1" xr:uid="{4F527B1D-325B-49BB-8906-7F07DFB263AD}">
  <cacheSource type="external" connectionId="2"/>
  <cacheFields count="3">
    <cacheField name="[Measures].[Sum of Annual_Premium]" caption="Sum of Annual_Premium" numFmtId="0" hierarchy="17" level="32767"/>
    <cacheField name="[insurance_data].[Agent_Name].[Agent_Name]" caption="Agent_Name" numFmtId="0" hierarchy="10" level="1">
      <sharedItems count="8">
        <s v="Adaeze Okonkwo"/>
        <s v="Amaka Obi"/>
        <s v="Chukwudi Eze"/>
        <s v="Emeka Nwachukwu"/>
        <s v="Fatima Al-Hassan"/>
        <s v="Ngozi Dike"/>
        <s v="Tunde Fashola"/>
        <s v="Yusuf Bello"/>
      </sharedItems>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2" memberValueDatatype="130" unbalanced="0">
      <fieldsUsage count="2">
        <fieldUsage x="-1"/>
        <fieldUsage x="1"/>
      </fieldsUsage>
    </cacheHierarchy>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6064813" backgroundQuery="1" createdVersion="8" refreshedVersion="8" minRefreshableVersion="3" recordCount="0" supportSubquery="1" supportAdvancedDrill="1" xr:uid="{74797D26-D01F-4093-AA3E-BE50B6DC3222}">
  <cacheSource type="external" connectionId="2"/>
  <cacheFields count="3">
    <cacheField name="[Measures].[Count of Policy_ID]" caption="Count of Policy_ID" numFmtId="0" hierarchy="16" level="32767"/>
    <cacheField name="[insurance_data].[Claim_Status].[Claim_Status]" caption="Claim_Status" numFmtId="0" hierarchy="9" level="1">
      <sharedItems count="4">
        <s v="Approved"/>
        <s v="No Claim"/>
        <s v="Pending"/>
        <s v="Rejected"/>
      </sharedItems>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2" memberValueDatatype="130" unbalanced="0">
      <fieldsUsage count="2">
        <fieldUsage x="-1"/>
        <fieldUsage x="1"/>
      </fieldsUsage>
    </cacheHierarchy>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6643521" backgroundQuery="1" createdVersion="8" refreshedVersion="8" minRefreshableVersion="3" recordCount="0" supportSubquery="1" supportAdvancedDrill="1" xr:uid="{92B67698-3085-4DAA-8985-204CDA4C6E3C}">
  <cacheSource type="external" connectionId="2"/>
  <cacheFields count="3">
    <cacheField name="[Measures].[Count of Policy_ID]" caption="Count of Policy_ID" numFmtId="0" hierarchy="16" level="32767"/>
    <cacheField name="[insurance_data].[Has_Claim].[Has_Claim]" caption="Has_Claim" numFmtId="0" hierarchy="13" level="1">
      <sharedItems count="2">
        <s v="No"/>
        <s v="Yes"/>
      </sharedItems>
    </cacheField>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2"/>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2" memberValueDatatype="130" unbalanced="0">
      <fieldsUsage count="2">
        <fieldUsage x="-1"/>
        <fieldUsage x="1"/>
      </fieldsUsage>
    </cacheHierarchy>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1.497547106483" backgroundQuery="1" createdVersion="8" refreshedVersion="8" minRefreshableVersion="3" recordCount="0" supportSubquery="1" supportAdvancedDrill="1" xr:uid="{6625070F-A440-40D1-897B-1E4F9E02898A}">
  <cacheSource type="external" connectionId="2"/>
  <cacheFields count="2">
    <cacheField name="[Measures].[Count of Policy_ID]" caption="Count of Policy_ID" numFmtId="0" hierarchy="16" level="32767"/>
    <cacheField name="[insurance_data].[Year].[Year]" caption="Year" numFmtId="0" hierarchy="2" level="1">
      <sharedItems containsSemiMixedTypes="0" containsNonDate="0" containsString="0"/>
    </cacheField>
  </cacheFields>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fieldsUsage count="2">
        <fieldUsage x="-1"/>
        <fieldUsage x="1"/>
      </fieldsUsage>
    </cacheHierarchy>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dimensions count="2">
    <dimension name="insurance_data" uniqueName="[insurance_data]" caption="insurance_data"/>
    <dimension measure="1" name="Measures" uniqueName="[Measures]" caption="Measures"/>
  </dimensions>
  <measureGroups count="1">
    <measureGroup name="insurance_data" caption="insuranc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9.91156296296" backgroundQuery="1" createdVersion="3" refreshedVersion="8" minRefreshableVersion="3" recordCount="0" supportSubquery="1" supportAdvancedDrill="1" xr:uid="{E297C65D-8F47-43DC-B884-E204D606B26B}">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insurance_data].[Policy_ID]" caption="Policy_ID" attribute="1" defaultMemberUniqueName="[insurance_data].[Policy_ID].[All]" allUniqueName="[insurance_data].[Policy_ID].[All]" dimensionUniqueName="[insurance_data]" displayFolder="" count="0" memberValueDatatype="130" unbalanced="0"/>
    <cacheHierarchy uniqueName="[insurance_data].[Policy_Date]" caption="Policy_Date" attribute="1" defaultMemberUniqueName="[insurance_data].[Policy_Date].[All]" allUniqueName="[insurance_data].[Policy_Date].[All]" dimensionUniqueName="[insurance_data]" displayFolder="" count="0" memberValueDatatype="130" unbalanced="0"/>
    <cacheHierarchy uniqueName="[insurance_data].[Year]" caption="Year" attribute="1" defaultMemberUniqueName="[insurance_data].[Year].[All]" allUniqueName="[insurance_data].[Year].[All]" dimensionUniqueName="[insurance_data]" displayFolder="" count="2" memberValueDatatype="20" unbalanced="0"/>
    <cacheHierarchy uniqueName="[insurance_data].[Month]" caption="Month" attribute="1" defaultMemberUniqueName="[insurance_data].[Month].[All]" allUniqueName="[insurance_data].[Month].[All]" dimensionUniqueName="[insurance_data]" displayFolder="" count="0" memberValueDatatype="130" unbalanced="0"/>
    <cacheHierarchy uniqueName="[insurance_data].[Policy_Type]" caption="Policy_Type" attribute="1" defaultMemberUniqueName="[insurance_data].[Policy_Type].[All]" allUniqueName="[insurance_data].[Policy_Type].[All]" dimensionUniqueName="[insurance_data]" displayFolder="" count="0" memberValueDatatype="130" unbalanced="0"/>
    <cacheHierarchy uniqueName="[insurance_data].[Region]" caption="Region" attribute="1" defaultMemberUniqueName="[insurance_data].[Region].[All]" allUniqueName="[insurance_data].[Region].[All]" dimensionUniqueName="[insurance_data]" displayFolder="" count="0" memberValueDatatype="130" unbalanced="0"/>
    <cacheHierarchy uniqueName="[insurance_data].[Risk_Level]" caption="Risk_Level" attribute="1" defaultMemberUniqueName="[insurance_data].[Risk_Level].[All]" allUniqueName="[insurance_data].[Risk_Level].[All]" dimensionUniqueName="[insurance_data]" displayFolder="" count="0" memberValueDatatype="130" unbalanced="0"/>
    <cacheHierarchy uniqueName="[insurance_data].[Annual_Premium]" caption="Annual_Premium" attribute="1" defaultMemberUniqueName="[insurance_data].[Annual_Premium].[All]" allUniqueName="[insurance_data].[Annual_Premium].[All]" dimensionUniqueName="[insurance_data]" displayFolder="" count="0" memberValueDatatype="5" unbalanced="0"/>
    <cacheHierarchy uniqueName="[insurance_data].[Claim_Amount]" caption="Claim_Amount" attribute="1" defaultMemberUniqueName="[insurance_data].[Claim_Amount].[All]" allUniqueName="[insurance_data].[Claim_Amount].[All]" dimensionUniqueName="[insurance_data]" displayFolder="" count="0" memberValueDatatype="5" unbalanced="0"/>
    <cacheHierarchy uniqueName="[insurance_data].[Claim_Status]" caption="Claim_Status" attribute="1" defaultMemberUniqueName="[insurance_data].[Claim_Status].[All]" allUniqueName="[insurance_data].[Claim_Status].[All]" dimensionUniqueName="[insurance_data]" displayFolder="" count="0" memberValueDatatype="130" unbalanced="0"/>
    <cacheHierarchy uniqueName="[insurance_data].[Agent_Name]" caption="Agent_Name" attribute="1" defaultMemberUniqueName="[insurance_data].[Agent_Name].[All]" allUniqueName="[insurance_data].[Agent_Name].[All]" dimensionUniqueName="[insurance_data]" displayFolder="" count="0" memberValueDatatype="130" unbalanced="0"/>
    <cacheHierarchy uniqueName="[insurance_data].[Customer_Age]" caption="Customer_Age" attribute="1" defaultMemberUniqueName="[insurance_data].[Customer_Age].[All]" allUniqueName="[insurance_data].[Customer_Age].[All]" dimensionUniqueName="[insurance_data]" displayFolder="" count="0" memberValueDatatype="20" unbalanced="0"/>
    <cacheHierarchy uniqueName="[insurance_data].[Years_As_Customer]" caption="Years_As_Customer" attribute="1" defaultMemberUniqueName="[insurance_data].[Years_As_Customer].[All]" allUniqueName="[insurance_data].[Years_As_Customer].[All]" dimensionUniqueName="[insurance_data]" displayFolder="" count="0" memberValueDatatype="20" unbalanced="0"/>
    <cacheHierarchy uniqueName="[insurance_data].[Has_Claim]" caption="Has_Claim" attribute="1" defaultMemberUniqueName="[insurance_data].[Has_Claim].[All]" allUniqueName="[insurance_data].[Has_Claim].[All]" dimensionUniqueName="[insurance_data]" displayFolder="" count="0" memberValueDatatype="130" unbalanced="0"/>
    <cacheHierarchy uniqueName="[Measures].[__XL_Count insurance_data]" caption="__XL_Count insurance_data" measure="1" displayFolder="" measureGroup="insurance_data" count="0" hidden="1"/>
    <cacheHierarchy uniqueName="[Measures].[__No measures defined]" caption="__No measures defined" measure="1" displayFolder="" count="0" hidden="1"/>
    <cacheHierarchy uniqueName="[Measures].[Count of Policy_ID]" caption="Count of Policy_ID" measure="1" displayFolder="" measureGroup="insurance_data" count="0" hidden="1">
      <extLst>
        <ext xmlns:x15="http://schemas.microsoft.com/office/spreadsheetml/2010/11/main" uri="{B97F6D7D-B522-45F9-BDA1-12C45D357490}">
          <x15:cacheHierarchy aggregatedColumn="0"/>
        </ext>
      </extLst>
    </cacheHierarchy>
    <cacheHierarchy uniqueName="[Measures].[Sum of Annual_Premium]" caption="Sum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Sum of Claim_Amount]" caption="Sum of Claim_Amount" measure="1" displayFolder="" measureGroup="insurance_data" count="0" hidden="1">
      <extLst>
        <ext xmlns:x15="http://schemas.microsoft.com/office/spreadsheetml/2010/11/main" uri="{B97F6D7D-B522-45F9-BDA1-12C45D357490}">
          <x15:cacheHierarchy aggregatedColumn="8"/>
        </ext>
      </extLst>
    </cacheHierarchy>
    <cacheHierarchy uniqueName="[Measures].[Average of Annual_Premium]" caption="Average of Annual_Premium" measure="1" displayFolder="" measureGroup="insurance_data" count="0" hidden="1">
      <extLst>
        <ext xmlns:x15="http://schemas.microsoft.com/office/spreadsheetml/2010/11/main" uri="{B97F6D7D-B522-45F9-BDA1-12C45D357490}">
          <x15:cacheHierarchy aggregatedColumn="7"/>
        </ext>
      </extLst>
    </cacheHierarchy>
    <cacheHierarchy uniqueName="[Measures].[Count of Agent_Name]" caption="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Distinct Count of Agent_Name]" caption="Distinct Count of Agent_Name" measure="1" displayFolder="" measureGroup="insurance_data" count="0" hidden="1">
      <extLst>
        <ext xmlns:x15="http://schemas.microsoft.com/office/spreadsheetml/2010/11/main" uri="{B97F6D7D-B522-45F9-BDA1-12C45D357490}">
          <x15:cacheHierarchy aggregatedColumn="10"/>
        </ext>
      </extLst>
    </cacheHierarchy>
    <cacheHierarchy uniqueName="[Measures].[Average of Claim_Amount]" caption="Average of Claim_Amount" measure="1" displayFolder="" measureGroup="insurance_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4309805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A5849-0A12-4D17-83C3-36B2754E6FDF}" name="PivotTable2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8:O17" firstHeaderRow="1" firstDataRow="1" firstDataCol="1"/>
  <pivotFields count="3">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4"/>
    </i>
    <i>
      <x v="6"/>
    </i>
    <i>
      <x v="1"/>
    </i>
    <i>
      <x v="2"/>
    </i>
    <i>
      <x v="5"/>
    </i>
    <i>
      <x/>
    </i>
    <i>
      <x v="3"/>
    </i>
    <i t="grand">
      <x/>
    </i>
  </rowItems>
  <colItems count="1">
    <i/>
  </colItems>
  <dataFields count="1">
    <dataField name="Total Premium" fld="0" baseField="0" baseItem="0" numFmtId="164"/>
  </dataFields>
  <formats count="1">
    <format dxfId="9">
      <pivotArea outline="0" collapsedLevelsAreSubtotals="1" fieldPosition="0"/>
    </format>
  </formats>
  <chartFormats count="9">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1" count="1" selected="0">
            <x v="0"/>
          </reference>
        </references>
      </pivotArea>
    </chartFormat>
    <chartFormat chart="14" format="20">
      <pivotArea type="data" outline="0" fieldPosition="0">
        <references count="2">
          <reference field="4294967294" count="1" selected="0">
            <x v="0"/>
          </reference>
          <reference field="1" count="1" selected="0">
            <x v="1"/>
          </reference>
        </references>
      </pivotArea>
    </chartFormat>
    <chartFormat chart="14" format="21">
      <pivotArea type="data" outline="0" fieldPosition="0">
        <references count="2">
          <reference field="4294967294" count="1" selected="0">
            <x v="0"/>
          </reference>
          <reference field="1" count="1" selected="0">
            <x v="2"/>
          </reference>
        </references>
      </pivotArea>
    </chartFormat>
    <chartFormat chart="14" format="22">
      <pivotArea type="data" outline="0" fieldPosition="0">
        <references count="2">
          <reference field="4294967294" count="1" selected="0">
            <x v="0"/>
          </reference>
          <reference field="1" count="1" selected="0">
            <x v="3"/>
          </reference>
        </references>
      </pivotArea>
    </chartFormat>
    <chartFormat chart="14" format="23">
      <pivotArea type="data" outline="0" fieldPosition="0">
        <references count="2">
          <reference field="4294967294" count="1" selected="0">
            <x v="0"/>
          </reference>
          <reference field="1" count="1" selected="0">
            <x v="4"/>
          </reference>
        </references>
      </pivotArea>
    </chartFormat>
    <chartFormat chart="14" format="24">
      <pivotArea type="data" outline="0" fieldPosition="0">
        <references count="2">
          <reference field="4294967294" count="1" selected="0">
            <x v="0"/>
          </reference>
          <reference field="1" count="1" selected="0">
            <x v="5"/>
          </reference>
        </references>
      </pivotArea>
    </chartFormat>
    <chartFormat chart="14" format="25">
      <pivotArea type="data" outline="0" fieldPosition="0">
        <references count="2">
          <reference field="4294967294" count="1" selected="0">
            <x v="0"/>
          </reference>
          <reference field="1" count="1" selected="0">
            <x v="6"/>
          </reference>
        </references>
      </pivotArea>
    </chartFormat>
    <chartFormat chart="14" format="26">
      <pivotArea type="data" outline="0" fieldPosition="0">
        <references count="2">
          <reference field="4294967294" count="1" selected="0">
            <x v="0"/>
          </reference>
          <reference field="1" count="1" selected="0">
            <x v="7"/>
          </reference>
        </references>
      </pivotArea>
    </chartFormat>
  </chart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1B4C32-85DA-4D4C-877C-2E067251043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emium" fld="0" baseField="0" baseItem="0" numFmtId="164"/>
  </dataFields>
  <formats count="1">
    <format dxfId="10">
      <pivotArea outline="0" collapsedLevelsAreSubtotals="1" fieldPosition="0"/>
    </format>
  </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34B31-A854-44BE-9308-CC5155FC02CE}"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S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ctive Agents" fld="0" subtotal="count" baseField="0" baseItem="0" numFmtId="1">
      <extLst>
        <ext xmlns:x15="http://schemas.microsoft.com/office/spreadsheetml/2010/11/main" uri="{FABC7310-3BB5-11E1-824E-6D434824019B}">
          <x15:dataField isCountDistinct="1"/>
        </ext>
      </extLst>
    </dataField>
  </dataFields>
  <formats count="1">
    <format dxfId="11">
      <pivotArea outline="0" collapsedLevelsAreSubtotals="1" fieldPosition="0"/>
    </format>
  </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caption="Total Claims paid"/>
    <pivotHierarchy dragToData="1" caption="Average of Annual_Premium"/>
    <pivotHierarchy dragToData="1"/>
    <pivotHierarchy dragToData="1" caption="Active Agent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AE1589-A833-451B-A4C1-3D3A36F4036E}"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olicy" fld="0" subtotal="count" baseField="0" baseItem="0"/>
  </dataField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6A64C6-AF3E-414D-9D21-782628F61F38}"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9" name="[insurance_data].[Claim_Status].&amp;[Approved]" cap="Approved"/>
  </pageFields>
  <dataFields count="1">
    <dataField name="Total Policy" fld="0" subtotal="count" baseField="0" baseItem="0"/>
  </dataField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multipleItemSelectionAllowed="1" dragToData="1">
      <members count="1" level="1">
        <member name="[insurance_data].[Claim_Status].&amp;[Approved]"/>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02C0AB-2C63-4AAB-87F6-F3F4CDDBF0A6}" name="PivotTable1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8:L1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Claims paid" fld="0" baseField="0" baseItem="0"/>
  </dataFields>
  <formats count="1">
    <format dxfId="12">
      <pivotArea outline="0" collapsedLevelsAreSubtotals="1" fieldPosition="0"/>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caption="Total Claims pa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74EE71-190E-4164-86A6-3CCE78531675}"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3" name="[insurance_data].[Has_Claim].&amp;[Yes]" cap="Yes"/>
  </pageFields>
  <dataFields count="1">
    <dataField name="Total Policy" fld="0" subtotal="count" baseField="0" baseItem="0"/>
  </dataField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surance_data].[Has_Claim].&amp;[Yes]"/>
      </members>
    </pivotHierarchy>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FC1600-A272-4B22-99A1-7D11C0A57974}" name="PivotTable1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H8:I12" firstHeaderRow="1" firstDataRow="1" firstDataCol="1"/>
  <pivotFields count="3">
    <pivotField dataField="1" subtotalTop="0" showAll="0" defaultSubtotal="0"/>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2"/>
    </i>
    <i>
      <x v="1"/>
    </i>
    <i t="grand">
      <x/>
    </i>
  </rowItems>
  <colItems count="1">
    <i/>
  </colItems>
  <dataFields count="1">
    <dataField name="Total Policy" fld="0" subtotal="count" baseField="0" baseItem="0"/>
  </dataField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689448-7DF0-41F8-8B14-79805C53CC12}"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emium" fld="0" subtotal="average" baseField="0" baseItem="0"/>
  </dataFields>
  <formats count="1">
    <format dxfId="13">
      <pivotArea outline="0" collapsedLevelsAreSubtotals="1" fieldPosition="0"/>
    </format>
  </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caption="Total Claims paid"/>
    <pivotHierarchy dragToData="1" caption="Average Premium"/>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06295C-AA8A-4D88-8288-9B3DEAA34A4A}"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8:F14"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Average of Annual_Premium" fld="1" subtotal="average" baseField="0" baseItem="0"/>
    <dataField name="Average of Claim_Amount" fld="2" subtotal="average" baseField="0" baseItem="0"/>
  </dataFields>
  <formats count="1">
    <format dxfId="14">
      <pivotArea outline="0" collapsedLevelsAreSubtotals="1" fieldPosition="0"/>
    </format>
  </formats>
  <chartFormats count="8">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 chart="4" format="18" series="1">
      <pivotArea type="data" outline="0" fieldPosition="0">
        <references count="1">
          <reference field="4294967294" count="1" selected="0">
            <x v="1"/>
          </reference>
        </references>
      </pivotArea>
    </chartFormat>
    <chartFormat chart="4" format="19">
      <pivotArea type="data" outline="0" fieldPosition="0">
        <references count="2">
          <reference field="4294967294" count="1" selected="0">
            <x v="1"/>
          </reference>
          <reference field="0" count="1" selected="0">
            <x v="0"/>
          </reference>
        </references>
      </pivotArea>
    </chartFormat>
    <chartFormat chart="4" format="20">
      <pivotArea type="data" outline="0" fieldPosition="0">
        <references count="2">
          <reference field="4294967294" count="1" selected="0">
            <x v="1"/>
          </reference>
          <reference field="0" count="1" selected="0">
            <x v="1"/>
          </reference>
        </references>
      </pivotArea>
    </chartFormat>
    <chartFormat chart="4" format="21">
      <pivotArea type="data" outline="0" fieldPosition="0">
        <references count="2">
          <reference field="4294967294" count="1" selected="0">
            <x v="1"/>
          </reference>
          <reference field="0" count="1" selected="0">
            <x v="2"/>
          </reference>
        </references>
      </pivotArea>
    </chartFormat>
    <chartFormat chart="4" format="22">
      <pivotArea type="data" outline="0" fieldPosition="0">
        <references count="2">
          <reference field="4294967294" count="1" selected="0">
            <x v="1"/>
          </reference>
          <reference field="0" count="1" selected="0">
            <x v="3"/>
          </reference>
        </references>
      </pivotArea>
    </chartFormat>
    <chartFormat chart="4" format="23">
      <pivotArea type="data" outline="0" fieldPosition="0">
        <references count="2">
          <reference field="4294967294" count="1" selected="0">
            <x v="1"/>
          </reference>
          <reference field="0" count="1" selected="0">
            <x v="4"/>
          </reference>
        </references>
      </pivotArea>
    </chartFormat>
  </chart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caption="Total Claims paid"/>
    <pivotHierarchy dragToData="1" caption="Average of Annual_Premium"/>
    <pivotHierarchy dragToData="1"/>
    <pivotHierarchy dragToData="1"/>
    <pivotHierarchy dragToData="1" caption="Average of Claim_Amount"/>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FC90AE-7C2A-403D-9E06-DAE48E7B8867}" name="PivotTable2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8:U1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Policy" fld="0" subtotal="count" baseField="0" baseItem="0"/>
  </dataField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3F1B86-1541-4FE6-98B9-05E665218EB5}" name="PivotTable2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Q8:R13"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3"/>
    </i>
    <i>
      <x/>
    </i>
    <i>
      <x v="1"/>
    </i>
    <i t="grand">
      <x/>
    </i>
  </rowItems>
  <colItems count="1">
    <i/>
  </colItems>
  <dataFields count="1">
    <dataField name="Total Policy" fld="0" subtotal="count" baseField="0" baseItem="0"/>
  </dataFields>
  <chartFormats count="5">
    <chartFormat chart="45" format="10" series="1">
      <pivotArea type="data" outline="0" fieldPosition="0">
        <references count="1">
          <reference field="4294967294" count="1" selected="0">
            <x v="0"/>
          </reference>
        </references>
      </pivotArea>
    </chartFormat>
    <chartFormat chart="45" format="11">
      <pivotArea type="data" outline="0" fieldPosition="0">
        <references count="2">
          <reference field="4294967294" count="1" selected="0">
            <x v="0"/>
          </reference>
          <reference field="1" count="1" selected="0">
            <x v="2"/>
          </reference>
        </references>
      </pivotArea>
    </chartFormat>
    <chartFormat chart="45" format="12">
      <pivotArea type="data" outline="0" fieldPosition="0">
        <references count="2">
          <reference field="4294967294" count="1" selected="0">
            <x v="0"/>
          </reference>
          <reference field="1" count="1" selected="0">
            <x v="3"/>
          </reference>
        </references>
      </pivotArea>
    </chartFormat>
    <chartFormat chart="45" format="13">
      <pivotArea type="data" outline="0" fieldPosition="0">
        <references count="2">
          <reference field="4294967294" count="1" selected="0">
            <x v="0"/>
          </reference>
          <reference field="1" count="1" selected="0">
            <x v="0"/>
          </reference>
        </references>
      </pivotArea>
    </chartFormat>
    <chartFormat chart="45" format="14">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5DDDE5-CE5C-4553-9484-355A20084B0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laims paid" fld="0" baseField="0" baseItem="0"/>
  </dataFields>
  <formats count="1">
    <format dxfId="15">
      <pivotArea outline="0" collapsedLevelsAreSubtotals="1" fieldPosition="0"/>
    </format>
  </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caption="Total Premium"/>
    <pivotHierarchy dragToData="1" caption="Total Claims pa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277B2A-1E7E-4A8B-8F24-A436B9A00A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Policy"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members count="1" level="1">
        <member name="[insurance_data].[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Polic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surance_data">
        <x15:activeTabTopLevelEntity name="[insuranc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F4C908-4346-4003-9C3F-9C222A3D2901}" autoFormatId="16" applyNumberFormats="0" applyBorderFormats="0" applyFontFormats="0" applyPatternFormats="0" applyAlignmentFormats="0" applyWidthHeightFormats="0">
  <queryTableRefresh nextId="15">
    <queryTableFields count="14">
      <queryTableField id="1" name="Policy_ID" tableColumnId="1"/>
      <queryTableField id="2" name="Policy_Date" tableColumnId="2"/>
      <queryTableField id="3" name="Year" tableColumnId="3"/>
      <queryTableField id="4" name="Month" tableColumnId="4"/>
      <queryTableField id="5" name="Policy_Type" tableColumnId="5"/>
      <queryTableField id="6" name="Region" tableColumnId="6"/>
      <queryTableField id="7" name="Risk_Level" tableColumnId="7"/>
      <queryTableField id="8" name="Annual_Premium" tableColumnId="8"/>
      <queryTableField id="9" name="Claim_Amount" tableColumnId="9"/>
      <queryTableField id="10" name="Claim_Status" tableColumnId="10"/>
      <queryTableField id="11" name="Agent_Name" tableColumnId="11"/>
      <queryTableField id="12" name="Customer_Age" tableColumnId="12"/>
      <queryTableField id="13" name="Years_As_Customer" tableColumnId="13"/>
      <queryTableField id="14" name="Has_Claim"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0FC52D-6A73-4B46-93DF-82B869D48E8F}" sourceName="[insurance_data].[Year]">
  <pivotTables>
    <pivotTable tabId="4" name="PivotTable16"/>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19"/>
    <pivotTable tabId="4" name="PivotTable20"/>
    <pivotTable tabId="4" name="PivotTable21"/>
    <pivotTable tabId="4" name="PivotTable22"/>
    <pivotTable tabId="4" name="PivotTable9"/>
  </pivotTables>
  <data>
    <olap pivotCacheId="430980512">
      <levels count="2">
        <level uniqueName="[insurance_data].[Year].[(All)]" sourceCaption="(All)" count="0"/>
        <level uniqueName="[insurance_data].[Year].[Year]" sourceCaption="Year" count="2">
          <ranges>
            <range startItem="0">
              <i n="[insurance_data].[Year].&amp;[2023]" c="2023"/>
              <i n="[insurance_data].[Year].&amp;[2024]" c="2024"/>
            </range>
          </ranges>
        </level>
      </levels>
      <selections count="1">
        <selection n="[insurance_data].[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766333-B703-49DA-82F7-BD2DAB109A85}" cache="Slicer_Year" caption="Year" columnCount="2" showCaption="0" level="1" style="Slicer Style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821AD-3C7D-4A19-A7F1-7BDFA1BA98E1}" name="insurance_data" displayName="insurance_data" ref="A1:N501" tableType="queryTable" totalsRowShown="0">
  <autoFilter ref="A1:N501" xr:uid="{1BB821AD-3C7D-4A19-A7F1-7BDFA1BA98E1}"/>
  <tableColumns count="14">
    <tableColumn id="1" xr3:uid="{5938C094-2606-40D4-A6F5-6D11E0A0D797}" uniqueName="1" name="Policy_ID" queryTableFieldId="1" dataDxfId="8"/>
    <tableColumn id="2" xr3:uid="{EFD16F3C-9340-4609-B813-F0B54DBF92CD}" uniqueName="2" name="Policy_Date" queryTableFieldId="2" dataDxfId="7"/>
    <tableColumn id="3" xr3:uid="{A114E3B1-091B-452F-9E64-E6CA6589235F}" uniqueName="3" name="Year" queryTableFieldId="3"/>
    <tableColumn id="4" xr3:uid="{379A1579-60B4-42C7-BD44-BD21E43DF0AD}" uniqueName="4" name="Month" queryTableFieldId="4" dataDxfId="6"/>
    <tableColumn id="5" xr3:uid="{CD45053A-7AAE-44C4-9449-F05F82C9CD2E}" uniqueName="5" name="Policy_Type" queryTableFieldId="5" dataDxfId="5"/>
    <tableColumn id="6" xr3:uid="{35BB90F4-25DC-4A3C-9C9F-8A117BF20339}" uniqueName="6" name="Region" queryTableFieldId="6" dataDxfId="4"/>
    <tableColumn id="7" xr3:uid="{D6452ED4-56E9-41D1-9489-274FB00E36F4}" uniqueName="7" name="Risk_Level" queryTableFieldId="7" dataDxfId="3"/>
    <tableColumn id="8" xr3:uid="{198E3880-983F-4D32-9327-261A8C18C7A9}" uniqueName="8" name="Annual_Premium" queryTableFieldId="8"/>
    <tableColumn id="9" xr3:uid="{0B467CF8-082F-4CFD-B97D-DABB87ECBB98}" uniqueName="9" name="Claim_Amount" queryTableFieldId="9"/>
    <tableColumn id="10" xr3:uid="{7C2705DB-82BF-48ED-8C71-6ECBA0BDDE0E}" uniqueName="10" name="Claim_Status" queryTableFieldId="10" dataDxfId="2"/>
    <tableColumn id="11" xr3:uid="{CBF31BA2-ACBC-49FA-8A33-0B39267337AC}" uniqueName="11" name="Agent_Name" queryTableFieldId="11" dataDxfId="1"/>
    <tableColumn id="12" xr3:uid="{B59F6F88-A49A-4A31-BE9F-224DD1647C55}" uniqueName="12" name="Customer_Age" queryTableFieldId="12"/>
    <tableColumn id="13" xr3:uid="{7FE2E2E6-0CDA-4E37-BEBF-BC41E6FF6F28}" uniqueName="13" name="Years_As_Customer" queryTableFieldId="13"/>
    <tableColumn id="14" xr3:uid="{CF86DB5B-07A5-451A-B2C1-34BF74691A49}" uniqueName="14" name="Has_Claim"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9FC1-7AA6-48AB-87BE-A9FDC1ED9862}">
  <dimension ref="A1:U21"/>
  <sheetViews>
    <sheetView topLeftCell="AM1" workbookViewId="0">
      <selection activeCell="A4" sqref="A4"/>
    </sheetView>
  </sheetViews>
  <sheetFormatPr defaultRowHeight="14.5" x14ac:dyDescent="0.35"/>
  <cols>
    <col min="1" max="2" width="10.36328125" bestFit="1" customWidth="1"/>
    <col min="3" max="3" width="13" bestFit="1" customWidth="1"/>
    <col min="4" max="4" width="12.453125" bestFit="1" customWidth="1"/>
    <col min="5" max="5" width="24.36328125" bestFit="1" customWidth="1"/>
    <col min="6" max="6" width="22.36328125" bestFit="1" customWidth="1"/>
    <col min="8" max="8" width="12.453125" bestFit="1" customWidth="1"/>
    <col min="9" max="9" width="10.36328125" bestFit="1" customWidth="1"/>
    <col min="11" max="11" width="12.453125" bestFit="1" customWidth="1"/>
    <col min="12" max="12" width="15.36328125" bestFit="1" customWidth="1"/>
    <col min="14" max="14" width="16.453125" bestFit="1" customWidth="1"/>
    <col min="15" max="15" width="13" bestFit="1" customWidth="1"/>
    <col min="17" max="17" width="12.453125" bestFit="1" customWidth="1"/>
    <col min="18" max="18" width="10.36328125" bestFit="1" customWidth="1"/>
    <col min="19" max="19" width="12" bestFit="1" customWidth="1"/>
    <col min="20" max="20" width="12.453125" bestFit="1" customWidth="1"/>
    <col min="21" max="21" width="10.36328125" bestFit="1" customWidth="1"/>
  </cols>
  <sheetData>
    <row r="1" spans="1:21" x14ac:dyDescent="0.35">
      <c r="K1" s="1" t="s">
        <v>13</v>
      </c>
      <c r="L1" t="s" vm="1">
        <v>22</v>
      </c>
      <c r="N1" s="1" t="s">
        <v>9</v>
      </c>
      <c r="O1" t="s" vm="2">
        <v>34</v>
      </c>
    </row>
    <row r="3" spans="1:21" x14ac:dyDescent="0.35">
      <c r="A3" t="s">
        <v>925</v>
      </c>
      <c r="C3" t="s">
        <v>926</v>
      </c>
      <c r="E3" t="s">
        <v>927</v>
      </c>
      <c r="G3" t="s">
        <v>921</v>
      </c>
      <c r="I3" t="s">
        <v>932</v>
      </c>
      <c r="K3" t="s">
        <v>925</v>
      </c>
      <c r="N3" t="s">
        <v>925</v>
      </c>
      <c r="Q3" t="s">
        <v>928</v>
      </c>
      <c r="S3" t="s">
        <v>929</v>
      </c>
      <c r="U3" t="s">
        <v>930</v>
      </c>
    </row>
    <row r="4" spans="1:21" x14ac:dyDescent="0.35">
      <c r="A4">
        <v>252</v>
      </c>
      <c r="C4" s="2">
        <v>447183.2</v>
      </c>
      <c r="E4" s="2">
        <v>214023.97</v>
      </c>
      <c r="G4" s="3">
        <f>GETPIVOTDATA("[Measures].[Sum of Claim_Amount]",$E$3)/GETPIVOTDATA("[Measures].[Sum of Annual_Premium]",$C$3)</f>
        <v>0.47860467477311314</v>
      </c>
      <c r="I4" s="2">
        <v>1774.5365079365081</v>
      </c>
      <c r="K4">
        <v>123</v>
      </c>
      <c r="N4">
        <v>72</v>
      </c>
      <c r="Q4" s="3">
        <f>GETPIVOTDATA("[Measures].[Count of Policy_ID]",$N$3)/GETPIVOTDATA("[Measures].[Count of Policy_ID]",$K$3)</f>
        <v>0.58536585365853655</v>
      </c>
      <c r="S4" s="5">
        <v>8</v>
      </c>
      <c r="U4" s="3">
        <f>GETPIVOTDATA("[Measures].[Count of Policy_ID]",$K$3)/GETPIVOTDATA("[Measures].[Count of Policy_ID]",$A$3)</f>
        <v>0.48809523809523808</v>
      </c>
    </row>
    <row r="5" spans="1:21" x14ac:dyDescent="0.35">
      <c r="A5">
        <f>GETPIVOTDATA("[Measures].[Count of Policy_ID]",$A$3)</f>
        <v>252</v>
      </c>
      <c r="C5" s="2">
        <f>GETPIVOTDATA("[Measures].[Sum of Annual_Premium]",$C$3)</f>
        <v>447183.2</v>
      </c>
      <c r="E5" s="2">
        <f>GETPIVOTDATA("[Measures].[Sum of Claim_Amount]",$E$3)</f>
        <v>214023.97</v>
      </c>
      <c r="G5" s="6">
        <f>G4</f>
        <v>0.47860467477311314</v>
      </c>
      <c r="I5" s="2">
        <f>GETPIVOTDATA("[Measures].[Average of Annual_Premium]",$I$3)</f>
        <v>1774.5365079365081</v>
      </c>
      <c r="K5">
        <f>GETPIVOTDATA("[Measures].[Count of Policy_ID]",$K$3)</f>
        <v>123</v>
      </c>
      <c r="N5">
        <f>GETPIVOTDATA("[Measures].[Count of Policy_ID]",$N$3)</f>
        <v>72</v>
      </c>
      <c r="S5" s="5">
        <f>GETPIVOTDATA("[Measures].[Distinct Count of Agent_Name]",$S$3)</f>
        <v>8</v>
      </c>
      <c r="U5" s="3">
        <f>GETPIVOTDATA("[Measures].[Count of Policy_ID]",$K$3)/GETPIVOTDATA("[Measures].[Count of Policy_ID]",$A$3)</f>
        <v>0.48809523809523808</v>
      </c>
    </row>
    <row r="7" spans="1:21" x14ac:dyDescent="0.35">
      <c r="A7" t="s">
        <v>931</v>
      </c>
      <c r="D7" t="s">
        <v>934</v>
      </c>
      <c r="H7" t="s">
        <v>935</v>
      </c>
      <c r="K7" t="s">
        <v>936</v>
      </c>
      <c r="N7" t="s">
        <v>937</v>
      </c>
      <c r="Q7" t="s">
        <v>938</v>
      </c>
      <c r="T7" t="s">
        <v>939</v>
      </c>
    </row>
    <row r="8" spans="1:21" x14ac:dyDescent="0.35">
      <c r="A8" s="1" t="s">
        <v>923</v>
      </c>
      <c r="B8" t="s">
        <v>925</v>
      </c>
      <c r="D8" s="1" t="s">
        <v>923</v>
      </c>
      <c r="E8" t="s">
        <v>922</v>
      </c>
      <c r="F8" t="s">
        <v>933</v>
      </c>
      <c r="H8" s="1" t="s">
        <v>923</v>
      </c>
      <c r="I8" t="s">
        <v>925</v>
      </c>
      <c r="K8" s="1" t="s">
        <v>923</v>
      </c>
      <c r="L8" t="s">
        <v>927</v>
      </c>
      <c r="N8" s="1" t="s">
        <v>923</v>
      </c>
      <c r="O8" t="s">
        <v>926</v>
      </c>
      <c r="Q8" s="1" t="s">
        <v>923</v>
      </c>
      <c r="R8" t="s">
        <v>925</v>
      </c>
      <c r="T8" s="1" t="s">
        <v>923</v>
      </c>
      <c r="U8" t="s">
        <v>925</v>
      </c>
    </row>
    <row r="9" spans="1:21" x14ac:dyDescent="0.35">
      <c r="A9" s="4" t="s">
        <v>67</v>
      </c>
      <c r="B9">
        <v>30</v>
      </c>
      <c r="D9" s="4" t="s">
        <v>53</v>
      </c>
      <c r="E9" s="2">
        <v>1917.2930555555556</v>
      </c>
      <c r="F9" s="2">
        <v>874.18805555555559</v>
      </c>
      <c r="H9" s="4" t="s">
        <v>19</v>
      </c>
      <c r="I9">
        <v>80</v>
      </c>
      <c r="K9" s="4" t="s">
        <v>44</v>
      </c>
      <c r="L9" s="2">
        <v>49037.15</v>
      </c>
      <c r="N9" s="4" t="s">
        <v>71</v>
      </c>
      <c r="O9" s="2">
        <v>44173.42</v>
      </c>
      <c r="Q9" s="4" t="s">
        <v>88</v>
      </c>
      <c r="R9">
        <v>18</v>
      </c>
      <c r="T9" s="4" t="s">
        <v>30</v>
      </c>
      <c r="U9">
        <v>129</v>
      </c>
    </row>
    <row r="10" spans="1:21" x14ac:dyDescent="0.35">
      <c r="A10" s="4" t="s">
        <v>16</v>
      </c>
      <c r="B10">
        <v>24</v>
      </c>
      <c r="D10" s="4" t="s">
        <v>26</v>
      </c>
      <c r="E10" s="2">
        <v>2563.8030909090912</v>
      </c>
      <c r="F10" s="2">
        <v>1229.9427272727273</v>
      </c>
      <c r="H10" s="4" t="s">
        <v>40</v>
      </c>
      <c r="I10">
        <v>83</v>
      </c>
      <c r="K10" s="4" t="s">
        <v>68</v>
      </c>
      <c r="L10" s="2">
        <v>40838.06</v>
      </c>
      <c r="N10" s="4" t="s">
        <v>21</v>
      </c>
      <c r="O10" s="2">
        <v>47054.97</v>
      </c>
      <c r="Q10" s="4" t="s">
        <v>20</v>
      </c>
      <c r="R10">
        <v>33</v>
      </c>
      <c r="T10" s="4" t="s">
        <v>22</v>
      </c>
      <c r="U10">
        <v>123</v>
      </c>
    </row>
    <row r="11" spans="1:21" x14ac:dyDescent="0.35">
      <c r="A11" s="4" t="s">
        <v>52</v>
      </c>
      <c r="B11">
        <v>18</v>
      </c>
      <c r="D11" s="4" t="s">
        <v>17</v>
      </c>
      <c r="E11" s="2">
        <v>2083.3713461538459</v>
      </c>
      <c r="F11" s="2">
        <v>921.38307692307694</v>
      </c>
      <c r="H11" s="4" t="s">
        <v>49</v>
      </c>
      <c r="I11">
        <v>89</v>
      </c>
      <c r="K11" s="4" t="s">
        <v>39</v>
      </c>
      <c r="L11" s="2">
        <v>49314.2</v>
      </c>
      <c r="N11" s="4" t="s">
        <v>57</v>
      </c>
      <c r="O11" s="2">
        <v>50120.45</v>
      </c>
      <c r="Q11" s="4" t="s">
        <v>34</v>
      </c>
      <c r="R11">
        <v>72</v>
      </c>
      <c r="T11" s="4" t="s">
        <v>924</v>
      </c>
      <c r="U11">
        <v>252</v>
      </c>
    </row>
    <row r="12" spans="1:21" x14ac:dyDescent="0.35">
      <c r="A12" s="4" t="s">
        <v>60</v>
      </c>
      <c r="B12">
        <v>14</v>
      </c>
      <c r="D12" s="4" t="s">
        <v>63</v>
      </c>
      <c r="E12" s="2">
        <v>1537.0252727272727</v>
      </c>
      <c r="F12" s="2">
        <v>822.35690909090908</v>
      </c>
      <c r="H12" s="4" t="s">
        <v>924</v>
      </c>
      <c r="I12">
        <v>252</v>
      </c>
      <c r="K12" s="4" t="s">
        <v>18</v>
      </c>
      <c r="L12" s="2">
        <v>39230.660000000003</v>
      </c>
      <c r="N12" s="4" t="s">
        <v>82</v>
      </c>
      <c r="O12" s="2">
        <v>50931.19</v>
      </c>
      <c r="Q12" s="4" t="s">
        <v>28</v>
      </c>
      <c r="R12">
        <v>129</v>
      </c>
    </row>
    <row r="13" spans="1:21" x14ac:dyDescent="0.35">
      <c r="A13" s="4" t="s">
        <v>25</v>
      </c>
      <c r="B13">
        <v>19</v>
      </c>
      <c r="D13" s="4" t="s">
        <v>38</v>
      </c>
      <c r="E13" s="2">
        <v>819.99592592592592</v>
      </c>
      <c r="F13" s="2">
        <v>403.05185185185184</v>
      </c>
      <c r="K13" s="4" t="s">
        <v>27</v>
      </c>
      <c r="L13" s="2">
        <v>35603.9</v>
      </c>
      <c r="N13" s="4" t="s">
        <v>29</v>
      </c>
      <c r="O13" s="2">
        <v>55181.14</v>
      </c>
      <c r="Q13" s="4" t="s">
        <v>924</v>
      </c>
      <c r="R13">
        <v>252</v>
      </c>
    </row>
    <row r="14" spans="1:21" x14ac:dyDescent="0.35">
      <c r="A14" s="4" t="s">
        <v>43</v>
      </c>
      <c r="B14">
        <v>23</v>
      </c>
      <c r="D14" s="4" t="s">
        <v>924</v>
      </c>
      <c r="E14" s="2">
        <v>1774.5365079365081</v>
      </c>
      <c r="F14" s="2">
        <v>849.30146825396821</v>
      </c>
      <c r="K14" s="4" t="s">
        <v>924</v>
      </c>
      <c r="L14" s="2">
        <v>214023.97</v>
      </c>
      <c r="N14" s="4" t="s">
        <v>77</v>
      </c>
      <c r="O14" s="2">
        <v>55972.75</v>
      </c>
    </row>
    <row r="15" spans="1:21" x14ac:dyDescent="0.35">
      <c r="A15" s="4" t="s">
        <v>56</v>
      </c>
      <c r="B15">
        <v>22</v>
      </c>
      <c r="H15" t="str">
        <f>H9</f>
        <v>High</v>
      </c>
      <c r="I15">
        <f>I9</f>
        <v>80</v>
      </c>
      <c r="N15" s="4" t="s">
        <v>45</v>
      </c>
      <c r="O15" s="2">
        <v>63029.34</v>
      </c>
      <c r="Q15" t="str">
        <f>Q9</f>
        <v>Pending</v>
      </c>
      <c r="R15">
        <f>R9</f>
        <v>18</v>
      </c>
    </row>
    <row r="16" spans="1:21" x14ac:dyDescent="0.35">
      <c r="A16" s="4" t="s">
        <v>33</v>
      </c>
      <c r="B16">
        <v>18</v>
      </c>
      <c r="H16" t="str">
        <f t="shared" ref="H16:I16" si="0">H10</f>
        <v>Medium</v>
      </c>
      <c r="I16">
        <f t="shared" si="0"/>
        <v>83</v>
      </c>
      <c r="N16" s="4" t="s">
        <v>64</v>
      </c>
      <c r="O16" s="2">
        <v>80719.94</v>
      </c>
      <c r="Q16" t="str">
        <f t="shared" ref="Q16:R16" si="1">Q10</f>
        <v>Rejected</v>
      </c>
      <c r="R16">
        <f t="shared" si="1"/>
        <v>33</v>
      </c>
    </row>
    <row r="17" spans="1:18" x14ac:dyDescent="0.35">
      <c r="A17" s="4" t="s">
        <v>74</v>
      </c>
      <c r="B17">
        <v>20</v>
      </c>
      <c r="H17" t="str">
        <f t="shared" ref="H17:I17" si="2">H11</f>
        <v>Low</v>
      </c>
      <c r="I17">
        <f t="shared" si="2"/>
        <v>89</v>
      </c>
      <c r="N17" s="4" t="s">
        <v>924</v>
      </c>
      <c r="O17" s="2">
        <v>447183.2</v>
      </c>
      <c r="Q17" t="str">
        <f t="shared" ref="Q17:R17" si="3">Q11</f>
        <v>Approved</v>
      </c>
      <c r="R17">
        <f t="shared" si="3"/>
        <v>72</v>
      </c>
    </row>
    <row r="18" spans="1:18" x14ac:dyDescent="0.35">
      <c r="A18" s="4" t="s">
        <v>37</v>
      </c>
      <c r="B18">
        <v>27</v>
      </c>
      <c r="Q18" t="str">
        <f t="shared" ref="Q18:R18" si="4">Q12</f>
        <v>No Claim</v>
      </c>
      <c r="R18">
        <f t="shared" si="4"/>
        <v>129</v>
      </c>
    </row>
    <row r="19" spans="1:18" x14ac:dyDescent="0.35">
      <c r="A19" s="4" t="s">
        <v>48</v>
      </c>
      <c r="B19">
        <v>19</v>
      </c>
      <c r="Q19" t="str">
        <f t="shared" ref="Q19:R19" si="5">Q13</f>
        <v>Grand Total</v>
      </c>
      <c r="R19">
        <f t="shared" si="5"/>
        <v>252</v>
      </c>
    </row>
    <row r="20" spans="1:18" x14ac:dyDescent="0.35">
      <c r="A20" s="4" t="s">
        <v>85</v>
      </c>
      <c r="B20">
        <v>18</v>
      </c>
    </row>
    <row r="21" spans="1:18" x14ac:dyDescent="0.35">
      <c r="A21" s="4" t="s">
        <v>924</v>
      </c>
      <c r="B21">
        <v>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D03C-227A-4907-A295-EB1E59E56C01}">
  <dimension ref="A1:N501"/>
  <sheetViews>
    <sheetView topLeftCell="A2" workbookViewId="0">
      <selection activeCell="G7" sqref="G7"/>
    </sheetView>
  </sheetViews>
  <sheetFormatPr defaultRowHeight="14.5" x14ac:dyDescent="0.35"/>
  <cols>
    <col min="1" max="1" width="10.81640625" bestFit="1" customWidth="1"/>
    <col min="2" max="2" width="12.90625" bestFit="1" customWidth="1"/>
    <col min="3" max="3" width="6.81640625" bestFit="1" customWidth="1"/>
    <col min="4" max="4" width="9.6328125" bestFit="1" customWidth="1"/>
    <col min="5" max="5" width="12.90625" bestFit="1" customWidth="1"/>
    <col min="6" max="6" width="8.81640625" bestFit="1" customWidth="1"/>
    <col min="7" max="7" width="11.90625" bestFit="1" customWidth="1"/>
    <col min="8" max="8" width="17.54296875" bestFit="1" customWidth="1"/>
    <col min="9" max="9" width="15.54296875" bestFit="1" customWidth="1"/>
    <col min="10" max="10" width="14.26953125" bestFit="1" customWidth="1"/>
    <col min="11" max="11" width="16.453125" bestFit="1" customWidth="1"/>
    <col min="12" max="12" width="15.1796875" bestFit="1" customWidth="1"/>
    <col min="13" max="13" width="19.7265625" bestFit="1" customWidth="1"/>
    <col min="14" max="14" width="12.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v>2024</v>
      </c>
      <c r="D2" t="s">
        <v>16</v>
      </c>
      <c r="E2" t="s">
        <v>17</v>
      </c>
      <c r="F2" t="s">
        <v>18</v>
      </c>
      <c r="G2" t="s">
        <v>19</v>
      </c>
      <c r="H2">
        <v>2459.7399999999998</v>
      </c>
      <c r="I2">
        <v>2720.87</v>
      </c>
      <c r="J2" t="s">
        <v>20</v>
      </c>
      <c r="K2" t="s">
        <v>21</v>
      </c>
      <c r="L2">
        <v>26</v>
      </c>
      <c r="M2">
        <v>10</v>
      </c>
      <c r="N2" t="s">
        <v>22</v>
      </c>
    </row>
    <row r="3" spans="1:14" x14ac:dyDescent="0.35">
      <c r="A3" t="s">
        <v>23</v>
      </c>
      <c r="B3" t="s">
        <v>24</v>
      </c>
      <c r="C3">
        <v>2024</v>
      </c>
      <c r="D3" t="s">
        <v>25</v>
      </c>
      <c r="E3" t="s">
        <v>26</v>
      </c>
      <c r="F3" t="s">
        <v>27</v>
      </c>
      <c r="G3" t="s">
        <v>19</v>
      </c>
      <c r="H3">
        <v>3302.59</v>
      </c>
      <c r="I3">
        <v>0</v>
      </c>
      <c r="J3" t="s">
        <v>28</v>
      </c>
      <c r="K3" t="s">
        <v>29</v>
      </c>
      <c r="L3">
        <v>45</v>
      </c>
      <c r="M3">
        <v>11</v>
      </c>
      <c r="N3" t="s">
        <v>30</v>
      </c>
    </row>
    <row r="4" spans="1:14" x14ac:dyDescent="0.35">
      <c r="A4" t="s">
        <v>31</v>
      </c>
      <c r="B4" t="s">
        <v>32</v>
      </c>
      <c r="C4">
        <v>2023</v>
      </c>
      <c r="D4" t="s">
        <v>33</v>
      </c>
      <c r="E4" t="s">
        <v>26</v>
      </c>
      <c r="F4" t="s">
        <v>27</v>
      </c>
      <c r="G4" t="s">
        <v>19</v>
      </c>
      <c r="H4">
        <v>3338.38</v>
      </c>
      <c r="I4">
        <v>3855.48</v>
      </c>
      <c r="J4" t="s">
        <v>34</v>
      </c>
      <c r="K4" t="s">
        <v>21</v>
      </c>
      <c r="L4">
        <v>46</v>
      </c>
      <c r="M4">
        <v>1</v>
      </c>
      <c r="N4" t="s">
        <v>22</v>
      </c>
    </row>
    <row r="5" spans="1:14" x14ac:dyDescent="0.35">
      <c r="A5" t="s">
        <v>35</v>
      </c>
      <c r="B5" t="s">
        <v>36</v>
      </c>
      <c r="C5">
        <v>2023</v>
      </c>
      <c r="D5" t="s">
        <v>37</v>
      </c>
      <c r="E5" t="s">
        <v>38</v>
      </c>
      <c r="F5" t="s">
        <v>39</v>
      </c>
      <c r="G5" t="s">
        <v>40</v>
      </c>
      <c r="H5">
        <v>778.01</v>
      </c>
      <c r="I5">
        <v>0</v>
      </c>
      <c r="J5" t="s">
        <v>28</v>
      </c>
      <c r="K5" t="s">
        <v>29</v>
      </c>
      <c r="L5">
        <v>26</v>
      </c>
      <c r="M5">
        <v>8</v>
      </c>
      <c r="N5" t="s">
        <v>30</v>
      </c>
    </row>
    <row r="6" spans="1:14" x14ac:dyDescent="0.35">
      <c r="A6" t="s">
        <v>41</v>
      </c>
      <c r="B6" t="s">
        <v>42</v>
      </c>
      <c r="C6">
        <v>2024</v>
      </c>
      <c r="D6" t="s">
        <v>43</v>
      </c>
      <c r="E6" t="s">
        <v>26</v>
      </c>
      <c r="F6" t="s">
        <v>44</v>
      </c>
      <c r="G6" t="s">
        <v>40</v>
      </c>
      <c r="H6">
        <v>2331.61</v>
      </c>
      <c r="I6">
        <v>2056.86</v>
      </c>
      <c r="J6" t="s">
        <v>34</v>
      </c>
      <c r="K6" t="s">
        <v>45</v>
      </c>
      <c r="L6">
        <v>32</v>
      </c>
      <c r="M6">
        <v>9</v>
      </c>
      <c r="N6" t="s">
        <v>22</v>
      </c>
    </row>
    <row r="7" spans="1:14" x14ac:dyDescent="0.35">
      <c r="A7" t="s">
        <v>46</v>
      </c>
      <c r="B7" t="s">
        <v>47</v>
      </c>
      <c r="C7">
        <v>2024</v>
      </c>
      <c r="D7" t="s">
        <v>48</v>
      </c>
      <c r="E7" t="s">
        <v>26</v>
      </c>
      <c r="F7" t="s">
        <v>39</v>
      </c>
      <c r="G7" t="s">
        <v>49</v>
      </c>
      <c r="H7">
        <v>1905.84</v>
      </c>
      <c r="I7">
        <v>0</v>
      </c>
      <c r="J7" t="s">
        <v>28</v>
      </c>
      <c r="K7" t="s">
        <v>45</v>
      </c>
      <c r="L7">
        <v>47</v>
      </c>
      <c r="M7">
        <v>2</v>
      </c>
      <c r="N7" t="s">
        <v>30</v>
      </c>
    </row>
    <row r="8" spans="1:14" x14ac:dyDescent="0.35">
      <c r="A8" t="s">
        <v>50</v>
      </c>
      <c r="B8" t="s">
        <v>51</v>
      </c>
      <c r="C8">
        <v>2024</v>
      </c>
      <c r="D8" t="s">
        <v>52</v>
      </c>
      <c r="E8" t="s">
        <v>53</v>
      </c>
      <c r="F8" t="s">
        <v>18</v>
      </c>
      <c r="G8" t="s">
        <v>40</v>
      </c>
      <c r="H8">
        <v>1757.18</v>
      </c>
      <c r="I8">
        <v>1809.88</v>
      </c>
      <c r="J8" t="s">
        <v>20</v>
      </c>
      <c r="K8" t="s">
        <v>45</v>
      </c>
      <c r="L8">
        <v>49</v>
      </c>
      <c r="M8">
        <v>5</v>
      </c>
      <c r="N8" t="s">
        <v>22</v>
      </c>
    </row>
    <row r="9" spans="1:14" x14ac:dyDescent="0.35">
      <c r="A9" t="s">
        <v>54</v>
      </c>
      <c r="B9" t="s">
        <v>55</v>
      </c>
      <c r="C9">
        <v>2024</v>
      </c>
      <c r="D9" t="s">
        <v>56</v>
      </c>
      <c r="E9" t="s">
        <v>17</v>
      </c>
      <c r="F9" t="s">
        <v>18</v>
      </c>
      <c r="G9" t="s">
        <v>40</v>
      </c>
      <c r="H9">
        <v>2168.88</v>
      </c>
      <c r="I9">
        <v>2103.67</v>
      </c>
      <c r="J9" t="s">
        <v>34</v>
      </c>
      <c r="K9" t="s">
        <v>57</v>
      </c>
      <c r="L9">
        <v>47</v>
      </c>
      <c r="M9">
        <v>2</v>
      </c>
      <c r="N9" t="s">
        <v>22</v>
      </c>
    </row>
    <row r="10" spans="1:14" x14ac:dyDescent="0.35">
      <c r="A10" t="s">
        <v>58</v>
      </c>
      <c r="B10" t="s">
        <v>59</v>
      </c>
      <c r="C10">
        <v>2023</v>
      </c>
      <c r="D10" t="s">
        <v>60</v>
      </c>
      <c r="E10" t="s">
        <v>53</v>
      </c>
      <c r="F10" t="s">
        <v>18</v>
      </c>
      <c r="G10" t="s">
        <v>40</v>
      </c>
      <c r="H10">
        <v>1976.8</v>
      </c>
      <c r="I10">
        <v>2028.37</v>
      </c>
      <c r="J10" t="s">
        <v>34</v>
      </c>
      <c r="K10" t="s">
        <v>21</v>
      </c>
      <c r="L10">
        <v>35</v>
      </c>
      <c r="M10">
        <v>5</v>
      </c>
      <c r="N10" t="s">
        <v>22</v>
      </c>
    </row>
    <row r="11" spans="1:14" x14ac:dyDescent="0.35">
      <c r="A11" t="s">
        <v>61</v>
      </c>
      <c r="B11" t="s">
        <v>62</v>
      </c>
      <c r="C11">
        <v>2023</v>
      </c>
      <c r="D11" t="s">
        <v>25</v>
      </c>
      <c r="E11" t="s">
        <v>63</v>
      </c>
      <c r="F11" t="s">
        <v>18</v>
      </c>
      <c r="G11" t="s">
        <v>19</v>
      </c>
      <c r="H11">
        <v>1950.48</v>
      </c>
      <c r="I11">
        <v>2097.54</v>
      </c>
      <c r="J11" t="s">
        <v>34</v>
      </c>
      <c r="K11" t="s">
        <v>64</v>
      </c>
      <c r="L11">
        <v>72</v>
      </c>
      <c r="M11">
        <v>7</v>
      </c>
      <c r="N11" t="s">
        <v>22</v>
      </c>
    </row>
    <row r="12" spans="1:14" x14ac:dyDescent="0.35">
      <c r="A12" t="s">
        <v>65</v>
      </c>
      <c r="B12" t="s">
        <v>66</v>
      </c>
      <c r="C12">
        <v>2024</v>
      </c>
      <c r="D12" t="s">
        <v>67</v>
      </c>
      <c r="E12" t="s">
        <v>17</v>
      </c>
      <c r="F12" t="s">
        <v>68</v>
      </c>
      <c r="G12" t="s">
        <v>19</v>
      </c>
      <c r="H12">
        <v>2434.2399999999998</v>
      </c>
      <c r="I12">
        <v>2809.51</v>
      </c>
      <c r="J12" t="s">
        <v>34</v>
      </c>
      <c r="K12" t="s">
        <v>64</v>
      </c>
      <c r="L12">
        <v>62</v>
      </c>
      <c r="M12">
        <v>4</v>
      </c>
      <c r="N12" t="s">
        <v>22</v>
      </c>
    </row>
    <row r="13" spans="1:14" x14ac:dyDescent="0.35">
      <c r="A13" t="s">
        <v>69</v>
      </c>
      <c r="B13" t="s">
        <v>70</v>
      </c>
      <c r="C13">
        <v>2024</v>
      </c>
      <c r="D13" t="s">
        <v>37</v>
      </c>
      <c r="E13" t="s">
        <v>63</v>
      </c>
      <c r="F13" t="s">
        <v>39</v>
      </c>
      <c r="G13" t="s">
        <v>19</v>
      </c>
      <c r="H13">
        <v>1840.26</v>
      </c>
      <c r="I13">
        <v>0</v>
      </c>
      <c r="J13" t="s">
        <v>28</v>
      </c>
      <c r="K13" t="s">
        <v>71</v>
      </c>
      <c r="L13">
        <v>64</v>
      </c>
      <c r="M13">
        <v>12</v>
      </c>
      <c r="N13" t="s">
        <v>30</v>
      </c>
    </row>
    <row r="14" spans="1:14" x14ac:dyDescent="0.35">
      <c r="A14" t="s">
        <v>72</v>
      </c>
      <c r="B14" t="s">
        <v>73</v>
      </c>
      <c r="C14">
        <v>2023</v>
      </c>
      <c r="D14" t="s">
        <v>74</v>
      </c>
      <c r="E14" t="s">
        <v>17</v>
      </c>
      <c r="F14" t="s">
        <v>68</v>
      </c>
      <c r="G14" t="s">
        <v>40</v>
      </c>
      <c r="H14">
        <v>2153.0100000000002</v>
      </c>
      <c r="I14">
        <v>1860.06</v>
      </c>
      <c r="J14" t="s">
        <v>20</v>
      </c>
      <c r="K14" t="s">
        <v>64</v>
      </c>
      <c r="L14">
        <v>41</v>
      </c>
      <c r="M14">
        <v>8</v>
      </c>
      <c r="N14" t="s">
        <v>22</v>
      </c>
    </row>
    <row r="15" spans="1:14" x14ac:dyDescent="0.35">
      <c r="A15" t="s">
        <v>75</v>
      </c>
      <c r="B15" t="s">
        <v>76</v>
      </c>
      <c r="C15">
        <v>2024</v>
      </c>
      <c r="D15" t="s">
        <v>43</v>
      </c>
      <c r="E15" t="s">
        <v>26</v>
      </c>
      <c r="F15" t="s">
        <v>68</v>
      </c>
      <c r="G15" t="s">
        <v>40</v>
      </c>
      <c r="H15">
        <v>2356.48</v>
      </c>
      <c r="I15">
        <v>0</v>
      </c>
      <c r="J15" t="s">
        <v>28</v>
      </c>
      <c r="K15" t="s">
        <v>77</v>
      </c>
      <c r="L15">
        <v>60</v>
      </c>
      <c r="M15">
        <v>3</v>
      </c>
      <c r="N15" t="s">
        <v>30</v>
      </c>
    </row>
    <row r="16" spans="1:14" x14ac:dyDescent="0.35">
      <c r="A16" t="s">
        <v>78</v>
      </c>
      <c r="B16" t="s">
        <v>79</v>
      </c>
      <c r="C16">
        <v>2023</v>
      </c>
      <c r="D16" t="s">
        <v>37</v>
      </c>
      <c r="E16" t="s">
        <v>17</v>
      </c>
      <c r="F16" t="s">
        <v>44</v>
      </c>
      <c r="G16" t="s">
        <v>19</v>
      </c>
      <c r="H16">
        <v>2441.13</v>
      </c>
      <c r="I16">
        <v>2614.59</v>
      </c>
      <c r="J16" t="s">
        <v>34</v>
      </c>
      <c r="K16" t="s">
        <v>57</v>
      </c>
      <c r="L16">
        <v>33</v>
      </c>
      <c r="M16">
        <v>11</v>
      </c>
      <c r="N16" t="s">
        <v>22</v>
      </c>
    </row>
    <row r="17" spans="1:14" x14ac:dyDescent="0.35">
      <c r="A17" t="s">
        <v>80</v>
      </c>
      <c r="B17" t="s">
        <v>81</v>
      </c>
      <c r="C17">
        <v>2024</v>
      </c>
      <c r="D17" t="s">
        <v>48</v>
      </c>
      <c r="E17" t="s">
        <v>26</v>
      </c>
      <c r="F17" t="s">
        <v>68</v>
      </c>
      <c r="G17" t="s">
        <v>19</v>
      </c>
      <c r="H17">
        <v>3271.64</v>
      </c>
      <c r="I17">
        <v>0</v>
      </c>
      <c r="J17" t="s">
        <v>28</v>
      </c>
      <c r="K17" t="s">
        <v>82</v>
      </c>
      <c r="L17">
        <v>35</v>
      </c>
      <c r="M17">
        <v>7</v>
      </c>
      <c r="N17" t="s">
        <v>30</v>
      </c>
    </row>
    <row r="18" spans="1:14" x14ac:dyDescent="0.35">
      <c r="A18" t="s">
        <v>83</v>
      </c>
      <c r="B18" t="s">
        <v>84</v>
      </c>
      <c r="C18">
        <v>2023</v>
      </c>
      <c r="D18" t="s">
        <v>85</v>
      </c>
      <c r="E18" t="s">
        <v>17</v>
      </c>
      <c r="F18" t="s">
        <v>39</v>
      </c>
      <c r="G18" t="s">
        <v>49</v>
      </c>
      <c r="H18">
        <v>1530.44</v>
      </c>
      <c r="I18">
        <v>1277.0899999999999</v>
      </c>
      <c r="J18" t="s">
        <v>20</v>
      </c>
      <c r="K18" t="s">
        <v>29</v>
      </c>
      <c r="L18">
        <v>49</v>
      </c>
      <c r="M18">
        <v>4</v>
      </c>
      <c r="N18" t="s">
        <v>22</v>
      </c>
    </row>
    <row r="19" spans="1:14" x14ac:dyDescent="0.35">
      <c r="A19" t="s">
        <v>86</v>
      </c>
      <c r="B19" t="s">
        <v>87</v>
      </c>
      <c r="C19">
        <v>2023</v>
      </c>
      <c r="D19" t="s">
        <v>74</v>
      </c>
      <c r="E19" t="s">
        <v>17</v>
      </c>
      <c r="F19" t="s">
        <v>27</v>
      </c>
      <c r="G19" t="s">
        <v>19</v>
      </c>
      <c r="H19">
        <v>2444.15</v>
      </c>
      <c r="I19">
        <v>2727.92</v>
      </c>
      <c r="J19" t="s">
        <v>88</v>
      </c>
      <c r="K19" t="s">
        <v>77</v>
      </c>
      <c r="L19">
        <v>47</v>
      </c>
      <c r="M19">
        <v>5</v>
      </c>
      <c r="N19" t="s">
        <v>22</v>
      </c>
    </row>
    <row r="20" spans="1:14" x14ac:dyDescent="0.35">
      <c r="A20" t="s">
        <v>89</v>
      </c>
      <c r="B20" t="s">
        <v>90</v>
      </c>
      <c r="C20">
        <v>2024</v>
      </c>
      <c r="D20" t="s">
        <v>67</v>
      </c>
      <c r="E20" t="s">
        <v>38</v>
      </c>
      <c r="F20" t="s">
        <v>44</v>
      </c>
      <c r="G20" t="s">
        <v>19</v>
      </c>
      <c r="H20">
        <v>976.35</v>
      </c>
      <c r="I20">
        <v>1130.47</v>
      </c>
      <c r="J20" t="s">
        <v>34</v>
      </c>
      <c r="K20" t="s">
        <v>77</v>
      </c>
      <c r="L20">
        <v>42</v>
      </c>
      <c r="M20">
        <v>3</v>
      </c>
      <c r="N20" t="s">
        <v>22</v>
      </c>
    </row>
    <row r="21" spans="1:14" x14ac:dyDescent="0.35">
      <c r="A21" t="s">
        <v>91</v>
      </c>
      <c r="B21" t="s">
        <v>92</v>
      </c>
      <c r="C21">
        <v>2023</v>
      </c>
      <c r="D21" t="s">
        <v>25</v>
      </c>
      <c r="E21" t="s">
        <v>17</v>
      </c>
      <c r="F21" t="s">
        <v>27</v>
      </c>
      <c r="G21" t="s">
        <v>40</v>
      </c>
      <c r="H21">
        <v>1943.94</v>
      </c>
      <c r="I21">
        <v>1980.62</v>
      </c>
      <c r="J21" t="s">
        <v>34</v>
      </c>
      <c r="K21" t="s">
        <v>21</v>
      </c>
      <c r="L21">
        <v>51</v>
      </c>
      <c r="M21">
        <v>10</v>
      </c>
      <c r="N21" t="s">
        <v>22</v>
      </c>
    </row>
    <row r="22" spans="1:14" x14ac:dyDescent="0.35">
      <c r="A22" t="s">
        <v>93</v>
      </c>
      <c r="B22" t="s">
        <v>94</v>
      </c>
      <c r="C22">
        <v>2024</v>
      </c>
      <c r="D22" t="s">
        <v>37</v>
      </c>
      <c r="E22" t="s">
        <v>17</v>
      </c>
      <c r="F22" t="s">
        <v>18</v>
      </c>
      <c r="G22" t="s">
        <v>49</v>
      </c>
      <c r="H22">
        <v>1869.04</v>
      </c>
      <c r="I22">
        <v>0</v>
      </c>
      <c r="J22" t="s">
        <v>28</v>
      </c>
      <c r="K22" t="s">
        <v>29</v>
      </c>
      <c r="L22">
        <v>28</v>
      </c>
      <c r="M22">
        <v>6</v>
      </c>
      <c r="N22" t="s">
        <v>30</v>
      </c>
    </row>
    <row r="23" spans="1:14" x14ac:dyDescent="0.35">
      <c r="A23" t="s">
        <v>95</v>
      </c>
      <c r="B23" t="s">
        <v>96</v>
      </c>
      <c r="C23">
        <v>2024</v>
      </c>
      <c r="D23" t="s">
        <v>25</v>
      </c>
      <c r="E23" t="s">
        <v>53</v>
      </c>
      <c r="F23" t="s">
        <v>68</v>
      </c>
      <c r="G23" t="s">
        <v>19</v>
      </c>
      <c r="H23">
        <v>2372.58</v>
      </c>
      <c r="I23">
        <v>0</v>
      </c>
      <c r="J23" t="s">
        <v>28</v>
      </c>
      <c r="K23" t="s">
        <v>45</v>
      </c>
      <c r="L23">
        <v>61</v>
      </c>
      <c r="M23">
        <v>1</v>
      </c>
      <c r="N23" t="s">
        <v>30</v>
      </c>
    </row>
    <row r="24" spans="1:14" x14ac:dyDescent="0.35">
      <c r="A24" t="s">
        <v>97</v>
      </c>
      <c r="B24" t="s">
        <v>98</v>
      </c>
      <c r="C24">
        <v>2024</v>
      </c>
      <c r="D24" t="s">
        <v>33</v>
      </c>
      <c r="E24" t="s">
        <v>63</v>
      </c>
      <c r="F24" t="s">
        <v>27</v>
      </c>
      <c r="G24" t="s">
        <v>40</v>
      </c>
      <c r="H24">
        <v>1390.85</v>
      </c>
      <c r="I24">
        <v>0</v>
      </c>
      <c r="J24" t="s">
        <v>28</v>
      </c>
      <c r="K24" t="s">
        <v>21</v>
      </c>
      <c r="L24">
        <v>46</v>
      </c>
      <c r="M24">
        <v>1</v>
      </c>
      <c r="N24" t="s">
        <v>30</v>
      </c>
    </row>
    <row r="25" spans="1:14" x14ac:dyDescent="0.35">
      <c r="A25" t="s">
        <v>99</v>
      </c>
      <c r="B25" t="s">
        <v>100</v>
      </c>
      <c r="C25">
        <v>2023</v>
      </c>
      <c r="D25" t="s">
        <v>16</v>
      </c>
      <c r="E25" t="s">
        <v>63</v>
      </c>
      <c r="F25" t="s">
        <v>44</v>
      </c>
      <c r="G25" t="s">
        <v>49</v>
      </c>
      <c r="H25">
        <v>1187.92</v>
      </c>
      <c r="I25">
        <v>0</v>
      </c>
      <c r="J25" t="s">
        <v>28</v>
      </c>
      <c r="K25" t="s">
        <v>77</v>
      </c>
      <c r="L25">
        <v>65</v>
      </c>
      <c r="M25">
        <v>7</v>
      </c>
      <c r="N25" t="s">
        <v>30</v>
      </c>
    </row>
    <row r="26" spans="1:14" x14ac:dyDescent="0.35">
      <c r="A26" t="s">
        <v>101</v>
      </c>
      <c r="B26" t="s">
        <v>102</v>
      </c>
      <c r="C26">
        <v>2023</v>
      </c>
      <c r="D26" t="s">
        <v>33</v>
      </c>
      <c r="E26" t="s">
        <v>26</v>
      </c>
      <c r="F26" t="s">
        <v>39</v>
      </c>
      <c r="G26" t="s">
        <v>40</v>
      </c>
      <c r="H26">
        <v>2290.94</v>
      </c>
      <c r="I26">
        <v>0</v>
      </c>
      <c r="J26" t="s">
        <v>28</v>
      </c>
      <c r="K26" t="s">
        <v>21</v>
      </c>
      <c r="L26">
        <v>25</v>
      </c>
      <c r="M26">
        <v>9</v>
      </c>
      <c r="N26" t="s">
        <v>30</v>
      </c>
    </row>
    <row r="27" spans="1:14" x14ac:dyDescent="0.35">
      <c r="A27" t="s">
        <v>103</v>
      </c>
      <c r="B27" t="s">
        <v>104</v>
      </c>
      <c r="C27">
        <v>2023</v>
      </c>
      <c r="D27" t="s">
        <v>56</v>
      </c>
      <c r="E27" t="s">
        <v>38</v>
      </c>
      <c r="F27" t="s">
        <v>18</v>
      </c>
      <c r="G27" t="s">
        <v>19</v>
      </c>
      <c r="H27">
        <v>1071.74</v>
      </c>
      <c r="I27">
        <v>0</v>
      </c>
      <c r="J27" t="s">
        <v>28</v>
      </c>
      <c r="K27" t="s">
        <v>71</v>
      </c>
      <c r="L27">
        <v>26</v>
      </c>
      <c r="M27">
        <v>12</v>
      </c>
      <c r="N27" t="s">
        <v>30</v>
      </c>
    </row>
    <row r="28" spans="1:14" x14ac:dyDescent="0.35">
      <c r="A28" t="s">
        <v>105</v>
      </c>
      <c r="B28" t="s">
        <v>106</v>
      </c>
      <c r="C28">
        <v>2024</v>
      </c>
      <c r="D28" t="s">
        <v>48</v>
      </c>
      <c r="E28" t="s">
        <v>53</v>
      </c>
      <c r="F28" t="s">
        <v>18</v>
      </c>
      <c r="G28" t="s">
        <v>49</v>
      </c>
      <c r="H28">
        <v>1543.87</v>
      </c>
      <c r="I28">
        <v>1239.03</v>
      </c>
      <c r="J28" t="s">
        <v>20</v>
      </c>
      <c r="K28" t="s">
        <v>21</v>
      </c>
      <c r="L28">
        <v>35</v>
      </c>
      <c r="M28">
        <v>10</v>
      </c>
      <c r="N28" t="s">
        <v>22</v>
      </c>
    </row>
    <row r="29" spans="1:14" x14ac:dyDescent="0.35">
      <c r="A29" t="s">
        <v>107</v>
      </c>
      <c r="B29" t="s">
        <v>108</v>
      </c>
      <c r="C29">
        <v>2024</v>
      </c>
      <c r="D29" t="s">
        <v>74</v>
      </c>
      <c r="E29" t="s">
        <v>38</v>
      </c>
      <c r="F29" t="s">
        <v>18</v>
      </c>
      <c r="G29" t="s">
        <v>40</v>
      </c>
      <c r="H29">
        <v>862.89</v>
      </c>
      <c r="I29">
        <v>0</v>
      </c>
      <c r="J29" t="s">
        <v>28</v>
      </c>
      <c r="K29" t="s">
        <v>45</v>
      </c>
      <c r="L29">
        <v>48</v>
      </c>
      <c r="M29">
        <v>4</v>
      </c>
      <c r="N29" t="s">
        <v>30</v>
      </c>
    </row>
    <row r="30" spans="1:14" x14ac:dyDescent="0.35">
      <c r="A30" t="s">
        <v>109</v>
      </c>
      <c r="B30" t="s">
        <v>110</v>
      </c>
      <c r="C30">
        <v>2023</v>
      </c>
      <c r="D30" t="s">
        <v>48</v>
      </c>
      <c r="E30" t="s">
        <v>26</v>
      </c>
      <c r="F30" t="s">
        <v>39</v>
      </c>
      <c r="G30" t="s">
        <v>49</v>
      </c>
      <c r="H30">
        <v>2098.3000000000002</v>
      </c>
      <c r="I30">
        <v>0</v>
      </c>
      <c r="J30" t="s">
        <v>28</v>
      </c>
      <c r="K30" t="s">
        <v>57</v>
      </c>
      <c r="L30">
        <v>21</v>
      </c>
      <c r="M30">
        <v>4</v>
      </c>
      <c r="N30" t="s">
        <v>30</v>
      </c>
    </row>
    <row r="31" spans="1:14" x14ac:dyDescent="0.35">
      <c r="A31" t="s">
        <v>111</v>
      </c>
      <c r="B31" t="s">
        <v>112</v>
      </c>
      <c r="C31">
        <v>2024</v>
      </c>
      <c r="D31" t="s">
        <v>67</v>
      </c>
      <c r="E31" t="s">
        <v>53</v>
      </c>
      <c r="F31" t="s">
        <v>18</v>
      </c>
      <c r="G31" t="s">
        <v>19</v>
      </c>
      <c r="H31">
        <v>2449.0500000000002</v>
      </c>
      <c r="I31">
        <v>0</v>
      </c>
      <c r="J31" t="s">
        <v>28</v>
      </c>
      <c r="K31" t="s">
        <v>57</v>
      </c>
      <c r="L31">
        <v>26</v>
      </c>
      <c r="M31">
        <v>3</v>
      </c>
      <c r="N31" t="s">
        <v>30</v>
      </c>
    </row>
    <row r="32" spans="1:14" x14ac:dyDescent="0.35">
      <c r="A32" t="s">
        <v>113</v>
      </c>
      <c r="B32" t="s">
        <v>114</v>
      </c>
      <c r="C32">
        <v>2023</v>
      </c>
      <c r="D32" t="s">
        <v>43</v>
      </c>
      <c r="E32" t="s">
        <v>17</v>
      </c>
      <c r="F32" t="s">
        <v>68</v>
      </c>
      <c r="G32" t="s">
        <v>40</v>
      </c>
      <c r="H32">
        <v>2035.72</v>
      </c>
      <c r="I32">
        <v>0</v>
      </c>
      <c r="J32" t="s">
        <v>28</v>
      </c>
      <c r="K32" t="s">
        <v>71</v>
      </c>
      <c r="L32">
        <v>22</v>
      </c>
      <c r="M32">
        <v>5</v>
      </c>
      <c r="N32" t="s">
        <v>30</v>
      </c>
    </row>
    <row r="33" spans="1:14" x14ac:dyDescent="0.35">
      <c r="A33" t="s">
        <v>115</v>
      </c>
      <c r="B33" t="s">
        <v>116</v>
      </c>
      <c r="C33">
        <v>2023</v>
      </c>
      <c r="D33" t="s">
        <v>43</v>
      </c>
      <c r="E33" t="s">
        <v>26</v>
      </c>
      <c r="F33" t="s">
        <v>39</v>
      </c>
      <c r="G33" t="s">
        <v>40</v>
      </c>
      <c r="H33">
        <v>2299.25</v>
      </c>
      <c r="I33">
        <v>0</v>
      </c>
      <c r="J33" t="s">
        <v>28</v>
      </c>
      <c r="K33" t="s">
        <v>77</v>
      </c>
      <c r="L33">
        <v>72</v>
      </c>
      <c r="M33">
        <v>2</v>
      </c>
      <c r="N33" t="s">
        <v>30</v>
      </c>
    </row>
    <row r="34" spans="1:14" x14ac:dyDescent="0.35">
      <c r="A34" t="s">
        <v>117</v>
      </c>
      <c r="B34" t="s">
        <v>118</v>
      </c>
      <c r="C34">
        <v>2023</v>
      </c>
      <c r="D34" t="s">
        <v>16</v>
      </c>
      <c r="E34" t="s">
        <v>63</v>
      </c>
      <c r="F34" t="s">
        <v>18</v>
      </c>
      <c r="G34" t="s">
        <v>19</v>
      </c>
      <c r="H34">
        <v>2085.17</v>
      </c>
      <c r="I34">
        <v>0</v>
      </c>
      <c r="J34" t="s">
        <v>28</v>
      </c>
      <c r="K34" t="s">
        <v>71</v>
      </c>
      <c r="L34">
        <v>72</v>
      </c>
      <c r="M34">
        <v>1</v>
      </c>
      <c r="N34" t="s">
        <v>30</v>
      </c>
    </row>
    <row r="35" spans="1:14" x14ac:dyDescent="0.35">
      <c r="A35" t="s">
        <v>119</v>
      </c>
      <c r="B35" t="s">
        <v>112</v>
      </c>
      <c r="C35">
        <v>2024</v>
      </c>
      <c r="D35" t="s">
        <v>67</v>
      </c>
      <c r="E35" t="s">
        <v>63</v>
      </c>
      <c r="F35" t="s">
        <v>44</v>
      </c>
      <c r="G35" t="s">
        <v>49</v>
      </c>
      <c r="H35">
        <v>1324.38</v>
      </c>
      <c r="I35">
        <v>1155.68</v>
      </c>
      <c r="J35" t="s">
        <v>34</v>
      </c>
      <c r="K35" t="s">
        <v>21</v>
      </c>
      <c r="L35">
        <v>70</v>
      </c>
      <c r="M35">
        <v>4</v>
      </c>
      <c r="N35" t="s">
        <v>22</v>
      </c>
    </row>
    <row r="36" spans="1:14" x14ac:dyDescent="0.35">
      <c r="A36" t="s">
        <v>120</v>
      </c>
      <c r="B36" t="s">
        <v>121</v>
      </c>
      <c r="C36">
        <v>2023</v>
      </c>
      <c r="D36" t="s">
        <v>43</v>
      </c>
      <c r="E36" t="s">
        <v>38</v>
      </c>
      <c r="F36" t="s">
        <v>27</v>
      </c>
      <c r="G36" t="s">
        <v>49</v>
      </c>
      <c r="H36">
        <v>644.88</v>
      </c>
      <c r="I36">
        <v>560.21</v>
      </c>
      <c r="J36" t="s">
        <v>88</v>
      </c>
      <c r="K36" t="s">
        <v>29</v>
      </c>
      <c r="L36">
        <v>33</v>
      </c>
      <c r="M36">
        <v>3</v>
      </c>
      <c r="N36" t="s">
        <v>22</v>
      </c>
    </row>
    <row r="37" spans="1:14" x14ac:dyDescent="0.35">
      <c r="A37" t="s">
        <v>122</v>
      </c>
      <c r="B37" t="s">
        <v>123</v>
      </c>
      <c r="C37">
        <v>2023</v>
      </c>
      <c r="D37" t="s">
        <v>56</v>
      </c>
      <c r="E37" t="s">
        <v>63</v>
      </c>
      <c r="F37" t="s">
        <v>39</v>
      </c>
      <c r="G37" t="s">
        <v>40</v>
      </c>
      <c r="H37">
        <v>1523.93</v>
      </c>
      <c r="I37">
        <v>0</v>
      </c>
      <c r="J37" t="s">
        <v>28</v>
      </c>
      <c r="K37" t="s">
        <v>21</v>
      </c>
      <c r="L37">
        <v>21</v>
      </c>
      <c r="M37">
        <v>11</v>
      </c>
      <c r="N37" t="s">
        <v>30</v>
      </c>
    </row>
    <row r="38" spans="1:14" x14ac:dyDescent="0.35">
      <c r="A38" t="s">
        <v>124</v>
      </c>
      <c r="B38" t="s">
        <v>125</v>
      </c>
      <c r="C38">
        <v>2023</v>
      </c>
      <c r="D38" t="s">
        <v>16</v>
      </c>
      <c r="E38" t="s">
        <v>38</v>
      </c>
      <c r="F38" t="s">
        <v>27</v>
      </c>
      <c r="G38" t="s">
        <v>40</v>
      </c>
      <c r="H38">
        <v>746.5</v>
      </c>
      <c r="I38">
        <v>705.92</v>
      </c>
      <c r="J38" t="s">
        <v>34</v>
      </c>
      <c r="K38" t="s">
        <v>64</v>
      </c>
      <c r="L38">
        <v>31</v>
      </c>
      <c r="M38">
        <v>4</v>
      </c>
      <c r="N38" t="s">
        <v>22</v>
      </c>
    </row>
    <row r="39" spans="1:14" x14ac:dyDescent="0.35">
      <c r="A39" t="s">
        <v>126</v>
      </c>
      <c r="B39" t="s">
        <v>127</v>
      </c>
      <c r="C39">
        <v>2024</v>
      </c>
      <c r="D39" t="s">
        <v>33</v>
      </c>
      <c r="E39" t="s">
        <v>17</v>
      </c>
      <c r="F39" t="s">
        <v>18</v>
      </c>
      <c r="G39" t="s">
        <v>19</v>
      </c>
      <c r="H39">
        <v>2566.9</v>
      </c>
      <c r="I39">
        <v>2945.85</v>
      </c>
      <c r="J39" t="s">
        <v>34</v>
      </c>
      <c r="K39" t="s">
        <v>64</v>
      </c>
      <c r="L39">
        <v>64</v>
      </c>
      <c r="M39">
        <v>5</v>
      </c>
      <c r="N39" t="s">
        <v>22</v>
      </c>
    </row>
    <row r="40" spans="1:14" x14ac:dyDescent="0.35">
      <c r="A40" t="s">
        <v>128</v>
      </c>
      <c r="B40" t="s">
        <v>129</v>
      </c>
      <c r="C40">
        <v>2023</v>
      </c>
      <c r="D40" t="s">
        <v>43</v>
      </c>
      <c r="E40" t="s">
        <v>38</v>
      </c>
      <c r="F40" t="s">
        <v>44</v>
      </c>
      <c r="G40" t="s">
        <v>19</v>
      </c>
      <c r="H40">
        <v>984.83</v>
      </c>
      <c r="I40">
        <v>0</v>
      </c>
      <c r="J40" t="s">
        <v>28</v>
      </c>
      <c r="K40" t="s">
        <v>64</v>
      </c>
      <c r="L40">
        <v>64</v>
      </c>
      <c r="M40">
        <v>12</v>
      </c>
      <c r="N40" t="s">
        <v>30</v>
      </c>
    </row>
    <row r="41" spans="1:14" x14ac:dyDescent="0.35">
      <c r="A41" t="s">
        <v>130</v>
      </c>
      <c r="B41" t="s">
        <v>131</v>
      </c>
      <c r="C41">
        <v>2024</v>
      </c>
      <c r="D41" t="s">
        <v>52</v>
      </c>
      <c r="E41" t="s">
        <v>17</v>
      </c>
      <c r="F41" t="s">
        <v>44</v>
      </c>
      <c r="G41" t="s">
        <v>19</v>
      </c>
      <c r="H41">
        <v>2465.64</v>
      </c>
      <c r="I41">
        <v>2513.4899999999998</v>
      </c>
      <c r="J41" t="s">
        <v>20</v>
      </c>
      <c r="K41" t="s">
        <v>64</v>
      </c>
      <c r="L41">
        <v>23</v>
      </c>
      <c r="M41">
        <v>7</v>
      </c>
      <c r="N41" t="s">
        <v>22</v>
      </c>
    </row>
    <row r="42" spans="1:14" x14ac:dyDescent="0.35">
      <c r="A42" t="s">
        <v>132</v>
      </c>
      <c r="B42" t="s">
        <v>133</v>
      </c>
      <c r="C42">
        <v>2023</v>
      </c>
      <c r="D42" t="s">
        <v>52</v>
      </c>
      <c r="E42" t="s">
        <v>63</v>
      </c>
      <c r="F42" t="s">
        <v>18</v>
      </c>
      <c r="G42" t="s">
        <v>49</v>
      </c>
      <c r="H42">
        <v>1194.7</v>
      </c>
      <c r="I42">
        <v>0</v>
      </c>
      <c r="J42" t="s">
        <v>28</v>
      </c>
      <c r="K42" t="s">
        <v>77</v>
      </c>
      <c r="L42">
        <v>63</v>
      </c>
      <c r="M42">
        <v>5</v>
      </c>
      <c r="N42" t="s">
        <v>30</v>
      </c>
    </row>
    <row r="43" spans="1:14" x14ac:dyDescent="0.35">
      <c r="A43" t="s">
        <v>134</v>
      </c>
      <c r="B43" t="s">
        <v>135</v>
      </c>
      <c r="C43">
        <v>2023</v>
      </c>
      <c r="D43" t="s">
        <v>67</v>
      </c>
      <c r="E43" t="s">
        <v>38</v>
      </c>
      <c r="F43" t="s">
        <v>44</v>
      </c>
      <c r="G43" t="s">
        <v>40</v>
      </c>
      <c r="H43">
        <v>836.11</v>
      </c>
      <c r="I43">
        <v>734.49</v>
      </c>
      <c r="J43" t="s">
        <v>34</v>
      </c>
      <c r="K43" t="s">
        <v>29</v>
      </c>
      <c r="L43">
        <v>49</v>
      </c>
      <c r="M43">
        <v>1</v>
      </c>
      <c r="N43" t="s">
        <v>22</v>
      </c>
    </row>
    <row r="44" spans="1:14" x14ac:dyDescent="0.35">
      <c r="A44" t="s">
        <v>136</v>
      </c>
      <c r="B44" t="s">
        <v>137</v>
      </c>
      <c r="C44">
        <v>2023</v>
      </c>
      <c r="D44" t="s">
        <v>67</v>
      </c>
      <c r="E44" t="s">
        <v>63</v>
      </c>
      <c r="F44" t="s">
        <v>18</v>
      </c>
      <c r="G44" t="s">
        <v>49</v>
      </c>
      <c r="H44">
        <v>1360.38</v>
      </c>
      <c r="I44">
        <v>1049.9000000000001</v>
      </c>
      <c r="J44" t="s">
        <v>34</v>
      </c>
      <c r="K44" t="s">
        <v>64</v>
      </c>
      <c r="L44">
        <v>70</v>
      </c>
      <c r="M44">
        <v>2</v>
      </c>
      <c r="N44" t="s">
        <v>22</v>
      </c>
    </row>
    <row r="45" spans="1:14" x14ac:dyDescent="0.35">
      <c r="A45" t="s">
        <v>138</v>
      </c>
      <c r="B45" t="s">
        <v>139</v>
      </c>
      <c r="C45">
        <v>2023</v>
      </c>
      <c r="D45" t="s">
        <v>67</v>
      </c>
      <c r="E45" t="s">
        <v>53</v>
      </c>
      <c r="F45" t="s">
        <v>18</v>
      </c>
      <c r="G45" t="s">
        <v>49</v>
      </c>
      <c r="H45">
        <v>1482.13</v>
      </c>
      <c r="I45">
        <v>1316.55</v>
      </c>
      <c r="J45" t="s">
        <v>20</v>
      </c>
      <c r="K45" t="s">
        <v>29</v>
      </c>
      <c r="L45">
        <v>26</v>
      </c>
      <c r="M45">
        <v>12</v>
      </c>
      <c r="N45" t="s">
        <v>22</v>
      </c>
    </row>
    <row r="46" spans="1:14" x14ac:dyDescent="0.35">
      <c r="A46" t="s">
        <v>140</v>
      </c>
      <c r="B46" t="s">
        <v>90</v>
      </c>
      <c r="C46">
        <v>2024</v>
      </c>
      <c r="D46" t="s">
        <v>67</v>
      </c>
      <c r="E46" t="s">
        <v>17</v>
      </c>
      <c r="F46" t="s">
        <v>27</v>
      </c>
      <c r="G46" t="s">
        <v>19</v>
      </c>
      <c r="H46">
        <v>2739.19</v>
      </c>
      <c r="I46">
        <v>0</v>
      </c>
      <c r="J46" t="s">
        <v>28</v>
      </c>
      <c r="K46" t="s">
        <v>82</v>
      </c>
      <c r="L46">
        <v>37</v>
      </c>
      <c r="M46">
        <v>6</v>
      </c>
      <c r="N46" t="s">
        <v>30</v>
      </c>
    </row>
    <row r="47" spans="1:14" x14ac:dyDescent="0.35">
      <c r="A47" t="s">
        <v>141</v>
      </c>
      <c r="B47" t="s">
        <v>142</v>
      </c>
      <c r="C47">
        <v>2024</v>
      </c>
      <c r="D47" t="s">
        <v>85</v>
      </c>
      <c r="E47" t="s">
        <v>63</v>
      </c>
      <c r="F47" t="s">
        <v>39</v>
      </c>
      <c r="G47" t="s">
        <v>40</v>
      </c>
      <c r="H47">
        <v>1369.33</v>
      </c>
      <c r="I47">
        <v>1333.98</v>
      </c>
      <c r="J47" t="s">
        <v>34</v>
      </c>
      <c r="K47" t="s">
        <v>29</v>
      </c>
      <c r="L47">
        <v>60</v>
      </c>
      <c r="M47">
        <v>4</v>
      </c>
      <c r="N47" t="s">
        <v>22</v>
      </c>
    </row>
    <row r="48" spans="1:14" x14ac:dyDescent="0.35">
      <c r="A48" t="s">
        <v>143</v>
      </c>
      <c r="B48" t="s">
        <v>32</v>
      </c>
      <c r="C48">
        <v>2023</v>
      </c>
      <c r="D48" t="s">
        <v>33</v>
      </c>
      <c r="E48" t="s">
        <v>17</v>
      </c>
      <c r="F48" t="s">
        <v>27</v>
      </c>
      <c r="G48" t="s">
        <v>19</v>
      </c>
      <c r="H48">
        <v>2653</v>
      </c>
      <c r="I48">
        <v>2662.39</v>
      </c>
      <c r="J48" t="s">
        <v>34</v>
      </c>
      <c r="K48" t="s">
        <v>45</v>
      </c>
      <c r="L48">
        <v>72</v>
      </c>
      <c r="M48">
        <v>12</v>
      </c>
      <c r="N48" t="s">
        <v>22</v>
      </c>
    </row>
    <row r="49" spans="1:14" x14ac:dyDescent="0.35">
      <c r="A49" t="s">
        <v>144</v>
      </c>
      <c r="B49" t="s">
        <v>145</v>
      </c>
      <c r="C49">
        <v>2024</v>
      </c>
      <c r="D49" t="s">
        <v>52</v>
      </c>
      <c r="E49" t="s">
        <v>17</v>
      </c>
      <c r="F49" t="s">
        <v>68</v>
      </c>
      <c r="G49" t="s">
        <v>19</v>
      </c>
      <c r="H49">
        <v>2654.59</v>
      </c>
      <c r="I49">
        <v>0</v>
      </c>
      <c r="J49" t="s">
        <v>28</v>
      </c>
      <c r="K49" t="s">
        <v>29</v>
      </c>
      <c r="L49">
        <v>27</v>
      </c>
      <c r="M49">
        <v>5</v>
      </c>
      <c r="N49" t="s">
        <v>30</v>
      </c>
    </row>
    <row r="50" spans="1:14" x14ac:dyDescent="0.35">
      <c r="A50" t="s">
        <v>146</v>
      </c>
      <c r="B50" t="s">
        <v>147</v>
      </c>
      <c r="C50">
        <v>2024</v>
      </c>
      <c r="D50" t="s">
        <v>16</v>
      </c>
      <c r="E50" t="s">
        <v>26</v>
      </c>
      <c r="F50" t="s">
        <v>39</v>
      </c>
      <c r="G50" t="s">
        <v>19</v>
      </c>
      <c r="H50">
        <v>3091.15</v>
      </c>
      <c r="I50">
        <v>0</v>
      </c>
      <c r="J50" t="s">
        <v>28</v>
      </c>
      <c r="K50" t="s">
        <v>77</v>
      </c>
      <c r="L50">
        <v>59</v>
      </c>
      <c r="M50">
        <v>2</v>
      </c>
      <c r="N50" t="s">
        <v>30</v>
      </c>
    </row>
    <row r="51" spans="1:14" x14ac:dyDescent="0.35">
      <c r="A51" t="s">
        <v>148</v>
      </c>
      <c r="B51" t="s">
        <v>149</v>
      </c>
      <c r="C51">
        <v>2024</v>
      </c>
      <c r="D51" t="s">
        <v>85</v>
      </c>
      <c r="E51" t="s">
        <v>53</v>
      </c>
      <c r="F51" t="s">
        <v>39</v>
      </c>
      <c r="G51" t="s">
        <v>19</v>
      </c>
      <c r="H51">
        <v>2402.83</v>
      </c>
      <c r="I51">
        <v>0</v>
      </c>
      <c r="J51" t="s">
        <v>28</v>
      </c>
      <c r="K51" t="s">
        <v>64</v>
      </c>
      <c r="L51">
        <v>33</v>
      </c>
      <c r="M51">
        <v>7</v>
      </c>
      <c r="N51" t="s">
        <v>30</v>
      </c>
    </row>
    <row r="52" spans="1:14" x14ac:dyDescent="0.35">
      <c r="A52" t="s">
        <v>150</v>
      </c>
      <c r="B52" t="s">
        <v>151</v>
      </c>
      <c r="C52">
        <v>2024</v>
      </c>
      <c r="D52" t="s">
        <v>48</v>
      </c>
      <c r="E52" t="s">
        <v>38</v>
      </c>
      <c r="F52" t="s">
        <v>44</v>
      </c>
      <c r="G52" t="s">
        <v>49</v>
      </c>
      <c r="H52">
        <v>628.51</v>
      </c>
      <c r="I52">
        <v>465.56</v>
      </c>
      <c r="J52" t="s">
        <v>88</v>
      </c>
      <c r="K52" t="s">
        <v>45</v>
      </c>
      <c r="L52">
        <v>39</v>
      </c>
      <c r="M52">
        <v>3</v>
      </c>
      <c r="N52" t="s">
        <v>22</v>
      </c>
    </row>
    <row r="53" spans="1:14" x14ac:dyDescent="0.35">
      <c r="A53" t="s">
        <v>152</v>
      </c>
      <c r="B53" t="s">
        <v>153</v>
      </c>
      <c r="C53">
        <v>2023</v>
      </c>
      <c r="D53" t="s">
        <v>25</v>
      </c>
      <c r="E53" t="s">
        <v>63</v>
      </c>
      <c r="F53" t="s">
        <v>18</v>
      </c>
      <c r="G53" t="s">
        <v>19</v>
      </c>
      <c r="H53">
        <v>1795.83</v>
      </c>
      <c r="I53">
        <v>0</v>
      </c>
      <c r="J53" t="s">
        <v>28</v>
      </c>
      <c r="K53" t="s">
        <v>82</v>
      </c>
      <c r="L53">
        <v>69</v>
      </c>
      <c r="M53">
        <v>7</v>
      </c>
      <c r="N53" t="s">
        <v>30</v>
      </c>
    </row>
    <row r="54" spans="1:14" x14ac:dyDescent="0.35">
      <c r="A54" t="s">
        <v>154</v>
      </c>
      <c r="B54" t="s">
        <v>66</v>
      </c>
      <c r="C54">
        <v>2024</v>
      </c>
      <c r="D54" t="s">
        <v>67</v>
      </c>
      <c r="E54" t="s">
        <v>53</v>
      </c>
      <c r="F54" t="s">
        <v>39</v>
      </c>
      <c r="G54" t="s">
        <v>40</v>
      </c>
      <c r="H54">
        <v>1710.07</v>
      </c>
      <c r="I54">
        <v>0</v>
      </c>
      <c r="J54" t="s">
        <v>28</v>
      </c>
      <c r="K54" t="s">
        <v>77</v>
      </c>
      <c r="L54">
        <v>31</v>
      </c>
      <c r="M54">
        <v>5</v>
      </c>
      <c r="N54" t="s">
        <v>30</v>
      </c>
    </row>
    <row r="55" spans="1:14" x14ac:dyDescent="0.35">
      <c r="A55" t="s">
        <v>155</v>
      </c>
      <c r="B55" t="s">
        <v>156</v>
      </c>
      <c r="C55">
        <v>2023</v>
      </c>
      <c r="D55" t="s">
        <v>25</v>
      </c>
      <c r="E55" t="s">
        <v>53</v>
      </c>
      <c r="F55" t="s">
        <v>44</v>
      </c>
      <c r="G55" t="s">
        <v>49</v>
      </c>
      <c r="H55">
        <v>1521.88</v>
      </c>
      <c r="I55">
        <v>1153.82</v>
      </c>
      <c r="J55" t="s">
        <v>88</v>
      </c>
      <c r="K55" t="s">
        <v>77</v>
      </c>
      <c r="L55">
        <v>53</v>
      </c>
      <c r="M55">
        <v>5</v>
      </c>
      <c r="N55" t="s">
        <v>22</v>
      </c>
    </row>
    <row r="56" spans="1:14" x14ac:dyDescent="0.35">
      <c r="A56" t="s">
        <v>157</v>
      </c>
      <c r="B56" t="s">
        <v>158</v>
      </c>
      <c r="C56">
        <v>2024</v>
      </c>
      <c r="D56" t="s">
        <v>60</v>
      </c>
      <c r="E56" t="s">
        <v>63</v>
      </c>
      <c r="F56" t="s">
        <v>44</v>
      </c>
      <c r="G56" t="s">
        <v>40</v>
      </c>
      <c r="H56">
        <v>1487.83</v>
      </c>
      <c r="I56">
        <v>1302.97</v>
      </c>
      <c r="J56" t="s">
        <v>34</v>
      </c>
      <c r="K56" t="s">
        <v>21</v>
      </c>
      <c r="L56">
        <v>59</v>
      </c>
      <c r="M56">
        <v>9</v>
      </c>
      <c r="N56" t="s">
        <v>22</v>
      </c>
    </row>
    <row r="57" spans="1:14" x14ac:dyDescent="0.35">
      <c r="A57" t="s">
        <v>159</v>
      </c>
      <c r="B57" t="s">
        <v>160</v>
      </c>
      <c r="C57">
        <v>2023</v>
      </c>
      <c r="D57" t="s">
        <v>52</v>
      </c>
      <c r="E57" t="s">
        <v>26</v>
      </c>
      <c r="F57" t="s">
        <v>44</v>
      </c>
      <c r="G57" t="s">
        <v>40</v>
      </c>
      <c r="H57">
        <v>2435</v>
      </c>
      <c r="I57">
        <v>2264.33</v>
      </c>
      <c r="J57" t="s">
        <v>34</v>
      </c>
      <c r="K57" t="s">
        <v>21</v>
      </c>
      <c r="L57">
        <v>26</v>
      </c>
      <c r="M57">
        <v>7</v>
      </c>
      <c r="N57" t="s">
        <v>22</v>
      </c>
    </row>
    <row r="58" spans="1:14" x14ac:dyDescent="0.35">
      <c r="A58" t="s">
        <v>161</v>
      </c>
      <c r="B58" t="s">
        <v>162</v>
      </c>
      <c r="C58">
        <v>2024</v>
      </c>
      <c r="D58" t="s">
        <v>60</v>
      </c>
      <c r="E58" t="s">
        <v>53</v>
      </c>
      <c r="F58" t="s">
        <v>39</v>
      </c>
      <c r="G58" t="s">
        <v>49</v>
      </c>
      <c r="H58">
        <v>1643.02</v>
      </c>
      <c r="I58">
        <v>1229.54</v>
      </c>
      <c r="J58" t="s">
        <v>34</v>
      </c>
      <c r="K58" t="s">
        <v>29</v>
      </c>
      <c r="L58">
        <v>40</v>
      </c>
      <c r="M58">
        <v>3</v>
      </c>
      <c r="N58" t="s">
        <v>22</v>
      </c>
    </row>
    <row r="59" spans="1:14" x14ac:dyDescent="0.35">
      <c r="A59" t="s">
        <v>163</v>
      </c>
      <c r="B59" t="s">
        <v>164</v>
      </c>
      <c r="C59">
        <v>2024</v>
      </c>
      <c r="D59" t="s">
        <v>56</v>
      </c>
      <c r="E59" t="s">
        <v>26</v>
      </c>
      <c r="F59" t="s">
        <v>39</v>
      </c>
      <c r="G59" t="s">
        <v>19</v>
      </c>
      <c r="H59">
        <v>3009.95</v>
      </c>
      <c r="I59">
        <v>0</v>
      </c>
      <c r="J59" t="s">
        <v>28</v>
      </c>
      <c r="K59" t="s">
        <v>64</v>
      </c>
      <c r="L59">
        <v>34</v>
      </c>
      <c r="M59">
        <v>5</v>
      </c>
      <c r="N59" t="s">
        <v>30</v>
      </c>
    </row>
    <row r="60" spans="1:14" x14ac:dyDescent="0.35">
      <c r="A60" t="s">
        <v>165</v>
      </c>
      <c r="B60" t="s">
        <v>166</v>
      </c>
      <c r="C60">
        <v>2024</v>
      </c>
      <c r="D60" t="s">
        <v>16</v>
      </c>
      <c r="E60" t="s">
        <v>63</v>
      </c>
      <c r="F60" t="s">
        <v>44</v>
      </c>
      <c r="G60" t="s">
        <v>49</v>
      </c>
      <c r="H60">
        <v>1312.92</v>
      </c>
      <c r="I60">
        <v>1061.43</v>
      </c>
      <c r="J60" t="s">
        <v>34</v>
      </c>
      <c r="K60" t="s">
        <v>57</v>
      </c>
      <c r="L60">
        <v>41</v>
      </c>
      <c r="M60">
        <v>12</v>
      </c>
      <c r="N60" t="s">
        <v>22</v>
      </c>
    </row>
    <row r="61" spans="1:14" x14ac:dyDescent="0.35">
      <c r="A61" t="s">
        <v>167</v>
      </c>
      <c r="B61" t="s">
        <v>168</v>
      </c>
      <c r="C61">
        <v>2024</v>
      </c>
      <c r="D61" t="s">
        <v>56</v>
      </c>
      <c r="E61" t="s">
        <v>26</v>
      </c>
      <c r="F61" t="s">
        <v>18</v>
      </c>
      <c r="G61" t="s">
        <v>19</v>
      </c>
      <c r="H61">
        <v>3256.26</v>
      </c>
      <c r="I61">
        <v>0</v>
      </c>
      <c r="J61" t="s">
        <v>28</v>
      </c>
      <c r="K61" t="s">
        <v>82</v>
      </c>
      <c r="L61">
        <v>59</v>
      </c>
      <c r="M61">
        <v>6</v>
      </c>
      <c r="N61" t="s">
        <v>30</v>
      </c>
    </row>
    <row r="62" spans="1:14" x14ac:dyDescent="0.35">
      <c r="A62" t="s">
        <v>169</v>
      </c>
      <c r="B62" t="s">
        <v>170</v>
      </c>
      <c r="C62">
        <v>2024</v>
      </c>
      <c r="D62" t="s">
        <v>56</v>
      </c>
      <c r="E62" t="s">
        <v>26</v>
      </c>
      <c r="F62" t="s">
        <v>44</v>
      </c>
      <c r="G62" t="s">
        <v>19</v>
      </c>
      <c r="H62">
        <v>2820.82</v>
      </c>
      <c r="I62">
        <v>0</v>
      </c>
      <c r="J62" t="s">
        <v>28</v>
      </c>
      <c r="K62" t="s">
        <v>77</v>
      </c>
      <c r="L62">
        <v>43</v>
      </c>
      <c r="M62">
        <v>3</v>
      </c>
      <c r="N62" t="s">
        <v>30</v>
      </c>
    </row>
    <row r="63" spans="1:14" x14ac:dyDescent="0.35">
      <c r="A63" t="s">
        <v>171</v>
      </c>
      <c r="B63" t="s">
        <v>172</v>
      </c>
      <c r="C63">
        <v>2023</v>
      </c>
      <c r="D63" t="s">
        <v>25</v>
      </c>
      <c r="E63" t="s">
        <v>17</v>
      </c>
      <c r="F63" t="s">
        <v>39</v>
      </c>
      <c r="G63" t="s">
        <v>49</v>
      </c>
      <c r="H63">
        <v>1854.71</v>
      </c>
      <c r="I63">
        <v>0</v>
      </c>
      <c r="J63" t="s">
        <v>28</v>
      </c>
      <c r="K63" t="s">
        <v>71</v>
      </c>
      <c r="L63">
        <v>44</v>
      </c>
      <c r="M63">
        <v>3</v>
      </c>
      <c r="N63" t="s">
        <v>30</v>
      </c>
    </row>
    <row r="64" spans="1:14" x14ac:dyDescent="0.35">
      <c r="A64" t="s">
        <v>173</v>
      </c>
      <c r="B64" t="s">
        <v>168</v>
      </c>
      <c r="C64">
        <v>2024</v>
      </c>
      <c r="D64" t="s">
        <v>56</v>
      </c>
      <c r="E64" t="s">
        <v>63</v>
      </c>
      <c r="F64" t="s">
        <v>39</v>
      </c>
      <c r="G64" t="s">
        <v>19</v>
      </c>
      <c r="H64">
        <v>1767.84</v>
      </c>
      <c r="I64">
        <v>0</v>
      </c>
      <c r="J64" t="s">
        <v>28</v>
      </c>
      <c r="K64" t="s">
        <v>77</v>
      </c>
      <c r="L64">
        <v>48</v>
      </c>
      <c r="M64">
        <v>4</v>
      </c>
      <c r="N64" t="s">
        <v>30</v>
      </c>
    </row>
    <row r="65" spans="1:14" x14ac:dyDescent="0.35">
      <c r="A65" t="s">
        <v>174</v>
      </c>
      <c r="B65" t="s">
        <v>175</v>
      </c>
      <c r="C65">
        <v>2024</v>
      </c>
      <c r="D65" t="s">
        <v>37</v>
      </c>
      <c r="E65" t="s">
        <v>26</v>
      </c>
      <c r="F65" t="s">
        <v>39</v>
      </c>
      <c r="G65" t="s">
        <v>49</v>
      </c>
      <c r="H65">
        <v>2029.74</v>
      </c>
      <c r="I65">
        <v>1641.7</v>
      </c>
      <c r="J65" t="s">
        <v>20</v>
      </c>
      <c r="K65" t="s">
        <v>64</v>
      </c>
      <c r="L65">
        <v>45</v>
      </c>
      <c r="M65">
        <v>5</v>
      </c>
      <c r="N65" t="s">
        <v>22</v>
      </c>
    </row>
    <row r="66" spans="1:14" x14ac:dyDescent="0.35">
      <c r="A66" t="s">
        <v>176</v>
      </c>
      <c r="B66" t="s">
        <v>177</v>
      </c>
      <c r="C66">
        <v>2023</v>
      </c>
      <c r="D66" t="s">
        <v>60</v>
      </c>
      <c r="E66" t="s">
        <v>26</v>
      </c>
      <c r="F66" t="s">
        <v>68</v>
      </c>
      <c r="G66" t="s">
        <v>49</v>
      </c>
      <c r="H66">
        <v>1942.79</v>
      </c>
      <c r="I66">
        <v>1361.7</v>
      </c>
      <c r="J66" t="s">
        <v>34</v>
      </c>
      <c r="K66" t="s">
        <v>64</v>
      </c>
      <c r="L66">
        <v>59</v>
      </c>
      <c r="M66">
        <v>11</v>
      </c>
      <c r="N66" t="s">
        <v>22</v>
      </c>
    </row>
    <row r="67" spans="1:14" x14ac:dyDescent="0.35">
      <c r="A67" t="s">
        <v>178</v>
      </c>
      <c r="B67" t="s">
        <v>179</v>
      </c>
      <c r="C67">
        <v>2023</v>
      </c>
      <c r="D67" t="s">
        <v>37</v>
      </c>
      <c r="E67" t="s">
        <v>63</v>
      </c>
      <c r="F67" t="s">
        <v>27</v>
      </c>
      <c r="G67" t="s">
        <v>49</v>
      </c>
      <c r="H67">
        <v>1317.58</v>
      </c>
      <c r="I67">
        <v>0</v>
      </c>
      <c r="J67" t="s">
        <v>28</v>
      </c>
      <c r="K67" t="s">
        <v>21</v>
      </c>
      <c r="L67">
        <v>29</v>
      </c>
      <c r="M67">
        <v>5</v>
      </c>
      <c r="N67" t="s">
        <v>30</v>
      </c>
    </row>
    <row r="68" spans="1:14" x14ac:dyDescent="0.35">
      <c r="A68" t="s">
        <v>180</v>
      </c>
      <c r="B68" t="s">
        <v>181</v>
      </c>
      <c r="C68">
        <v>2024</v>
      </c>
      <c r="D68" t="s">
        <v>85</v>
      </c>
      <c r="E68" t="s">
        <v>53</v>
      </c>
      <c r="F68" t="s">
        <v>44</v>
      </c>
      <c r="G68" t="s">
        <v>19</v>
      </c>
      <c r="H68">
        <v>2172.65</v>
      </c>
      <c r="I68">
        <v>2361.33</v>
      </c>
      <c r="J68" t="s">
        <v>34</v>
      </c>
      <c r="K68" t="s">
        <v>77</v>
      </c>
      <c r="L68">
        <v>43</v>
      </c>
      <c r="M68">
        <v>1</v>
      </c>
      <c r="N68" t="s">
        <v>22</v>
      </c>
    </row>
    <row r="69" spans="1:14" x14ac:dyDescent="0.35">
      <c r="A69" t="s">
        <v>182</v>
      </c>
      <c r="B69" t="s">
        <v>183</v>
      </c>
      <c r="C69">
        <v>2024</v>
      </c>
      <c r="D69" t="s">
        <v>25</v>
      </c>
      <c r="E69" t="s">
        <v>26</v>
      </c>
      <c r="F69" t="s">
        <v>27</v>
      </c>
      <c r="G69" t="s">
        <v>19</v>
      </c>
      <c r="H69">
        <v>3119.87</v>
      </c>
      <c r="I69">
        <v>3199.03</v>
      </c>
      <c r="J69" t="s">
        <v>20</v>
      </c>
      <c r="K69" t="s">
        <v>64</v>
      </c>
      <c r="L69">
        <v>25</v>
      </c>
      <c r="M69">
        <v>6</v>
      </c>
      <c r="N69" t="s">
        <v>22</v>
      </c>
    </row>
    <row r="70" spans="1:14" x14ac:dyDescent="0.35">
      <c r="A70" t="s">
        <v>184</v>
      </c>
      <c r="B70" t="s">
        <v>185</v>
      </c>
      <c r="C70">
        <v>2024</v>
      </c>
      <c r="D70" t="s">
        <v>56</v>
      </c>
      <c r="E70" t="s">
        <v>26</v>
      </c>
      <c r="F70" t="s">
        <v>68</v>
      </c>
      <c r="G70" t="s">
        <v>19</v>
      </c>
      <c r="H70">
        <v>2848.33</v>
      </c>
      <c r="I70">
        <v>0</v>
      </c>
      <c r="J70" t="s">
        <v>28</v>
      </c>
      <c r="K70" t="s">
        <v>45</v>
      </c>
      <c r="L70">
        <v>67</v>
      </c>
      <c r="M70">
        <v>12</v>
      </c>
      <c r="N70" t="s">
        <v>30</v>
      </c>
    </row>
    <row r="71" spans="1:14" x14ac:dyDescent="0.35">
      <c r="A71" t="s">
        <v>186</v>
      </c>
      <c r="B71" t="s">
        <v>187</v>
      </c>
      <c r="C71">
        <v>2023</v>
      </c>
      <c r="D71" t="s">
        <v>67</v>
      </c>
      <c r="E71" t="s">
        <v>17</v>
      </c>
      <c r="F71" t="s">
        <v>18</v>
      </c>
      <c r="G71" t="s">
        <v>19</v>
      </c>
      <c r="H71">
        <v>2598.2399999999998</v>
      </c>
      <c r="I71">
        <v>0</v>
      </c>
      <c r="J71" t="s">
        <v>28</v>
      </c>
      <c r="K71" t="s">
        <v>57</v>
      </c>
      <c r="L71">
        <v>34</v>
      </c>
      <c r="M71">
        <v>12</v>
      </c>
      <c r="N71" t="s">
        <v>30</v>
      </c>
    </row>
    <row r="72" spans="1:14" x14ac:dyDescent="0.35">
      <c r="A72" t="s">
        <v>188</v>
      </c>
      <c r="B72" t="s">
        <v>189</v>
      </c>
      <c r="C72">
        <v>2023</v>
      </c>
      <c r="D72" t="s">
        <v>16</v>
      </c>
      <c r="E72" t="s">
        <v>38</v>
      </c>
      <c r="F72" t="s">
        <v>18</v>
      </c>
      <c r="G72" t="s">
        <v>49</v>
      </c>
      <c r="H72">
        <v>637.09</v>
      </c>
      <c r="I72">
        <v>555.67999999999995</v>
      </c>
      <c r="J72" t="s">
        <v>20</v>
      </c>
      <c r="K72" t="s">
        <v>82</v>
      </c>
      <c r="L72">
        <v>22</v>
      </c>
      <c r="M72">
        <v>12</v>
      </c>
      <c r="N72" t="s">
        <v>22</v>
      </c>
    </row>
    <row r="73" spans="1:14" x14ac:dyDescent="0.35">
      <c r="A73" t="s">
        <v>190</v>
      </c>
      <c r="B73" t="s">
        <v>191</v>
      </c>
      <c r="C73">
        <v>2023</v>
      </c>
      <c r="D73" t="s">
        <v>16</v>
      </c>
      <c r="E73" t="s">
        <v>63</v>
      </c>
      <c r="F73" t="s">
        <v>39</v>
      </c>
      <c r="G73" t="s">
        <v>19</v>
      </c>
      <c r="H73">
        <v>2022.74</v>
      </c>
      <c r="I73">
        <v>0</v>
      </c>
      <c r="J73" t="s">
        <v>28</v>
      </c>
      <c r="K73" t="s">
        <v>45</v>
      </c>
      <c r="L73">
        <v>44</v>
      </c>
      <c r="M73">
        <v>8</v>
      </c>
      <c r="N73" t="s">
        <v>30</v>
      </c>
    </row>
    <row r="74" spans="1:14" x14ac:dyDescent="0.35">
      <c r="A74" t="s">
        <v>192</v>
      </c>
      <c r="B74" t="s">
        <v>193</v>
      </c>
      <c r="C74">
        <v>2023</v>
      </c>
      <c r="D74" t="s">
        <v>25</v>
      </c>
      <c r="E74" t="s">
        <v>63</v>
      </c>
      <c r="F74" t="s">
        <v>44</v>
      </c>
      <c r="G74" t="s">
        <v>40</v>
      </c>
      <c r="H74">
        <v>1557.42</v>
      </c>
      <c r="I74">
        <v>1580.3</v>
      </c>
      <c r="J74" t="s">
        <v>34</v>
      </c>
      <c r="K74" t="s">
        <v>21</v>
      </c>
      <c r="L74">
        <v>47</v>
      </c>
      <c r="M74">
        <v>11</v>
      </c>
      <c r="N74" t="s">
        <v>22</v>
      </c>
    </row>
    <row r="75" spans="1:14" x14ac:dyDescent="0.35">
      <c r="A75" t="s">
        <v>194</v>
      </c>
      <c r="B75" t="s">
        <v>87</v>
      </c>
      <c r="C75">
        <v>2023</v>
      </c>
      <c r="D75" t="s">
        <v>74</v>
      </c>
      <c r="E75" t="s">
        <v>26</v>
      </c>
      <c r="F75" t="s">
        <v>44</v>
      </c>
      <c r="G75" t="s">
        <v>40</v>
      </c>
      <c r="H75">
        <v>2563.6</v>
      </c>
      <c r="I75">
        <v>2686.46</v>
      </c>
      <c r="J75" t="s">
        <v>34</v>
      </c>
      <c r="K75" t="s">
        <v>57</v>
      </c>
      <c r="L75">
        <v>21</v>
      </c>
      <c r="M75">
        <v>9</v>
      </c>
      <c r="N75" t="s">
        <v>22</v>
      </c>
    </row>
    <row r="76" spans="1:14" x14ac:dyDescent="0.35">
      <c r="A76" t="s">
        <v>195</v>
      </c>
      <c r="B76" t="s">
        <v>196</v>
      </c>
      <c r="C76">
        <v>2023</v>
      </c>
      <c r="D76" t="s">
        <v>43</v>
      </c>
      <c r="E76" t="s">
        <v>53</v>
      </c>
      <c r="F76" t="s">
        <v>68</v>
      </c>
      <c r="G76" t="s">
        <v>49</v>
      </c>
      <c r="H76">
        <v>1653.71</v>
      </c>
      <c r="I76">
        <v>0</v>
      </c>
      <c r="J76" t="s">
        <v>28</v>
      </c>
      <c r="K76" t="s">
        <v>21</v>
      </c>
      <c r="L76">
        <v>66</v>
      </c>
      <c r="M76">
        <v>1</v>
      </c>
      <c r="N76" t="s">
        <v>30</v>
      </c>
    </row>
    <row r="77" spans="1:14" x14ac:dyDescent="0.35">
      <c r="A77" t="s">
        <v>197</v>
      </c>
      <c r="B77" t="s">
        <v>198</v>
      </c>
      <c r="C77">
        <v>2023</v>
      </c>
      <c r="D77" t="s">
        <v>43</v>
      </c>
      <c r="E77" t="s">
        <v>38</v>
      </c>
      <c r="F77" t="s">
        <v>18</v>
      </c>
      <c r="G77" t="s">
        <v>40</v>
      </c>
      <c r="H77">
        <v>771.5</v>
      </c>
      <c r="I77">
        <v>696.69</v>
      </c>
      <c r="J77" t="s">
        <v>34</v>
      </c>
      <c r="K77" t="s">
        <v>77</v>
      </c>
      <c r="L77">
        <v>56</v>
      </c>
      <c r="M77">
        <v>8</v>
      </c>
      <c r="N77" t="s">
        <v>22</v>
      </c>
    </row>
    <row r="78" spans="1:14" x14ac:dyDescent="0.35">
      <c r="A78" t="s">
        <v>199</v>
      </c>
      <c r="B78" t="s">
        <v>200</v>
      </c>
      <c r="C78">
        <v>2024</v>
      </c>
      <c r="D78" t="s">
        <v>60</v>
      </c>
      <c r="E78" t="s">
        <v>63</v>
      </c>
      <c r="F78" t="s">
        <v>27</v>
      </c>
      <c r="G78" t="s">
        <v>19</v>
      </c>
      <c r="H78">
        <v>2040.29</v>
      </c>
      <c r="I78">
        <v>2059.98</v>
      </c>
      <c r="J78" t="s">
        <v>34</v>
      </c>
      <c r="K78" t="s">
        <v>71</v>
      </c>
      <c r="L78">
        <v>63</v>
      </c>
      <c r="M78">
        <v>10</v>
      </c>
      <c r="N78" t="s">
        <v>22</v>
      </c>
    </row>
    <row r="79" spans="1:14" x14ac:dyDescent="0.35">
      <c r="A79" t="s">
        <v>201</v>
      </c>
      <c r="B79" t="s">
        <v>202</v>
      </c>
      <c r="C79">
        <v>2023</v>
      </c>
      <c r="D79" t="s">
        <v>43</v>
      </c>
      <c r="E79" t="s">
        <v>17</v>
      </c>
      <c r="F79" t="s">
        <v>18</v>
      </c>
      <c r="G79" t="s">
        <v>19</v>
      </c>
      <c r="H79">
        <v>2752.55</v>
      </c>
      <c r="I79">
        <v>2926.64</v>
      </c>
      <c r="J79" t="s">
        <v>88</v>
      </c>
      <c r="K79" t="s">
        <v>64</v>
      </c>
      <c r="L79">
        <v>66</v>
      </c>
      <c r="M79">
        <v>2</v>
      </c>
      <c r="N79" t="s">
        <v>22</v>
      </c>
    </row>
    <row r="80" spans="1:14" x14ac:dyDescent="0.35">
      <c r="A80" t="s">
        <v>203</v>
      </c>
      <c r="B80" t="s">
        <v>204</v>
      </c>
      <c r="C80">
        <v>2023</v>
      </c>
      <c r="D80" t="s">
        <v>60</v>
      </c>
      <c r="E80" t="s">
        <v>26</v>
      </c>
      <c r="F80" t="s">
        <v>18</v>
      </c>
      <c r="G80" t="s">
        <v>40</v>
      </c>
      <c r="H80">
        <v>2626.57</v>
      </c>
      <c r="I80">
        <v>0</v>
      </c>
      <c r="J80" t="s">
        <v>28</v>
      </c>
      <c r="K80" t="s">
        <v>21</v>
      </c>
      <c r="L80">
        <v>35</v>
      </c>
      <c r="M80">
        <v>6</v>
      </c>
      <c r="N80" t="s">
        <v>30</v>
      </c>
    </row>
    <row r="81" spans="1:14" x14ac:dyDescent="0.35">
      <c r="A81" t="s">
        <v>205</v>
      </c>
      <c r="B81" t="s">
        <v>206</v>
      </c>
      <c r="C81">
        <v>2023</v>
      </c>
      <c r="D81" t="s">
        <v>52</v>
      </c>
      <c r="E81" t="s">
        <v>26</v>
      </c>
      <c r="F81" t="s">
        <v>39</v>
      </c>
      <c r="G81" t="s">
        <v>19</v>
      </c>
      <c r="H81">
        <v>2861.76</v>
      </c>
      <c r="I81">
        <v>0</v>
      </c>
      <c r="J81" t="s">
        <v>28</v>
      </c>
      <c r="K81" t="s">
        <v>45</v>
      </c>
      <c r="L81">
        <v>34</v>
      </c>
      <c r="M81">
        <v>12</v>
      </c>
      <c r="N81" t="s">
        <v>30</v>
      </c>
    </row>
    <row r="82" spans="1:14" x14ac:dyDescent="0.35">
      <c r="A82" t="s">
        <v>207</v>
      </c>
      <c r="B82" t="s">
        <v>208</v>
      </c>
      <c r="C82">
        <v>2023</v>
      </c>
      <c r="D82" t="s">
        <v>74</v>
      </c>
      <c r="E82" t="s">
        <v>17</v>
      </c>
      <c r="F82" t="s">
        <v>68</v>
      </c>
      <c r="G82" t="s">
        <v>19</v>
      </c>
      <c r="H82">
        <v>2837.17</v>
      </c>
      <c r="I82">
        <v>0</v>
      </c>
      <c r="J82" t="s">
        <v>28</v>
      </c>
      <c r="K82" t="s">
        <v>45</v>
      </c>
      <c r="L82">
        <v>61</v>
      </c>
      <c r="M82">
        <v>7</v>
      </c>
      <c r="N82" t="s">
        <v>30</v>
      </c>
    </row>
    <row r="83" spans="1:14" x14ac:dyDescent="0.35">
      <c r="A83" t="s">
        <v>209</v>
      </c>
      <c r="B83" t="s">
        <v>210</v>
      </c>
      <c r="C83">
        <v>2024</v>
      </c>
      <c r="D83" t="s">
        <v>74</v>
      </c>
      <c r="E83" t="s">
        <v>17</v>
      </c>
      <c r="F83" t="s">
        <v>68</v>
      </c>
      <c r="G83" t="s">
        <v>40</v>
      </c>
      <c r="H83">
        <v>2049.19</v>
      </c>
      <c r="I83">
        <v>2025.05</v>
      </c>
      <c r="J83" t="s">
        <v>34</v>
      </c>
      <c r="K83" t="s">
        <v>21</v>
      </c>
      <c r="L83">
        <v>49</v>
      </c>
      <c r="M83">
        <v>8</v>
      </c>
      <c r="N83" t="s">
        <v>22</v>
      </c>
    </row>
    <row r="84" spans="1:14" x14ac:dyDescent="0.35">
      <c r="A84" t="s">
        <v>211</v>
      </c>
      <c r="B84" t="s">
        <v>212</v>
      </c>
      <c r="C84">
        <v>2023</v>
      </c>
      <c r="D84" t="s">
        <v>56</v>
      </c>
      <c r="E84" t="s">
        <v>17</v>
      </c>
      <c r="F84" t="s">
        <v>44</v>
      </c>
      <c r="G84" t="s">
        <v>40</v>
      </c>
      <c r="H84">
        <v>2014.3</v>
      </c>
      <c r="I84">
        <v>0</v>
      </c>
      <c r="J84" t="s">
        <v>28</v>
      </c>
      <c r="K84" t="s">
        <v>77</v>
      </c>
      <c r="L84">
        <v>70</v>
      </c>
      <c r="M84">
        <v>2</v>
      </c>
      <c r="N84" t="s">
        <v>30</v>
      </c>
    </row>
    <row r="85" spans="1:14" x14ac:dyDescent="0.35">
      <c r="A85" t="s">
        <v>213</v>
      </c>
      <c r="B85" t="s">
        <v>214</v>
      </c>
      <c r="C85">
        <v>2024</v>
      </c>
      <c r="D85" t="s">
        <v>25</v>
      </c>
      <c r="E85" t="s">
        <v>53</v>
      </c>
      <c r="F85" t="s">
        <v>27</v>
      </c>
      <c r="G85" t="s">
        <v>49</v>
      </c>
      <c r="H85">
        <v>1482.71</v>
      </c>
      <c r="I85">
        <v>1167.18</v>
      </c>
      <c r="J85" t="s">
        <v>20</v>
      </c>
      <c r="K85" t="s">
        <v>64</v>
      </c>
      <c r="L85">
        <v>29</v>
      </c>
      <c r="M85">
        <v>2</v>
      </c>
      <c r="N85" t="s">
        <v>22</v>
      </c>
    </row>
    <row r="86" spans="1:14" x14ac:dyDescent="0.35">
      <c r="A86" t="s">
        <v>215</v>
      </c>
      <c r="B86" t="s">
        <v>216</v>
      </c>
      <c r="C86">
        <v>2024</v>
      </c>
      <c r="D86" t="s">
        <v>56</v>
      </c>
      <c r="E86" t="s">
        <v>17</v>
      </c>
      <c r="F86" t="s">
        <v>44</v>
      </c>
      <c r="G86" t="s">
        <v>49</v>
      </c>
      <c r="H86">
        <v>1572.95</v>
      </c>
      <c r="I86">
        <v>0</v>
      </c>
      <c r="J86" t="s">
        <v>28</v>
      </c>
      <c r="K86" t="s">
        <v>64</v>
      </c>
      <c r="L86">
        <v>29</v>
      </c>
      <c r="M86">
        <v>4</v>
      </c>
      <c r="N86" t="s">
        <v>30</v>
      </c>
    </row>
    <row r="87" spans="1:14" x14ac:dyDescent="0.35">
      <c r="A87" t="s">
        <v>217</v>
      </c>
      <c r="B87" t="s">
        <v>218</v>
      </c>
      <c r="C87">
        <v>2023</v>
      </c>
      <c r="D87" t="s">
        <v>74</v>
      </c>
      <c r="E87" t="s">
        <v>53</v>
      </c>
      <c r="F87" t="s">
        <v>68</v>
      </c>
      <c r="G87" t="s">
        <v>19</v>
      </c>
      <c r="H87">
        <v>2554.4299999999998</v>
      </c>
      <c r="I87">
        <v>0</v>
      </c>
      <c r="J87" t="s">
        <v>28</v>
      </c>
      <c r="K87" t="s">
        <v>45</v>
      </c>
      <c r="L87">
        <v>23</v>
      </c>
      <c r="M87">
        <v>4</v>
      </c>
      <c r="N87" t="s">
        <v>30</v>
      </c>
    </row>
    <row r="88" spans="1:14" x14ac:dyDescent="0.35">
      <c r="A88" t="s">
        <v>219</v>
      </c>
      <c r="B88" t="s">
        <v>220</v>
      </c>
      <c r="C88">
        <v>2023</v>
      </c>
      <c r="D88" t="s">
        <v>33</v>
      </c>
      <c r="E88" t="s">
        <v>38</v>
      </c>
      <c r="F88" t="s">
        <v>18</v>
      </c>
      <c r="G88" t="s">
        <v>49</v>
      </c>
      <c r="H88">
        <v>637.01</v>
      </c>
      <c r="I88">
        <v>490.81</v>
      </c>
      <c r="J88" t="s">
        <v>34</v>
      </c>
      <c r="K88" t="s">
        <v>45</v>
      </c>
      <c r="L88">
        <v>39</v>
      </c>
      <c r="M88">
        <v>1</v>
      </c>
      <c r="N88" t="s">
        <v>22</v>
      </c>
    </row>
    <row r="89" spans="1:14" x14ac:dyDescent="0.35">
      <c r="A89" t="s">
        <v>221</v>
      </c>
      <c r="B89" t="s">
        <v>222</v>
      </c>
      <c r="C89">
        <v>2024</v>
      </c>
      <c r="D89" t="s">
        <v>37</v>
      </c>
      <c r="E89" t="s">
        <v>17</v>
      </c>
      <c r="F89" t="s">
        <v>39</v>
      </c>
      <c r="G89" t="s">
        <v>49</v>
      </c>
      <c r="H89">
        <v>1809.49</v>
      </c>
      <c r="I89">
        <v>0</v>
      </c>
      <c r="J89" t="s">
        <v>28</v>
      </c>
      <c r="K89" t="s">
        <v>45</v>
      </c>
      <c r="L89">
        <v>34</v>
      </c>
      <c r="M89">
        <v>7</v>
      </c>
      <c r="N89" t="s">
        <v>30</v>
      </c>
    </row>
    <row r="90" spans="1:14" x14ac:dyDescent="0.35">
      <c r="A90" t="s">
        <v>223</v>
      </c>
      <c r="B90" t="s">
        <v>79</v>
      </c>
      <c r="C90">
        <v>2023</v>
      </c>
      <c r="D90" t="s">
        <v>37</v>
      </c>
      <c r="E90" t="s">
        <v>63</v>
      </c>
      <c r="F90" t="s">
        <v>68</v>
      </c>
      <c r="G90" t="s">
        <v>49</v>
      </c>
      <c r="H90">
        <v>1232.74</v>
      </c>
      <c r="I90">
        <v>1021.84</v>
      </c>
      <c r="J90" t="s">
        <v>34</v>
      </c>
      <c r="K90" t="s">
        <v>57</v>
      </c>
      <c r="L90">
        <v>55</v>
      </c>
      <c r="M90">
        <v>10</v>
      </c>
      <c r="N90" t="s">
        <v>22</v>
      </c>
    </row>
    <row r="91" spans="1:14" x14ac:dyDescent="0.35">
      <c r="A91" t="s">
        <v>224</v>
      </c>
      <c r="B91" t="s">
        <v>225</v>
      </c>
      <c r="C91">
        <v>2023</v>
      </c>
      <c r="D91" t="s">
        <v>60</v>
      </c>
      <c r="E91" t="s">
        <v>63</v>
      </c>
      <c r="F91" t="s">
        <v>39</v>
      </c>
      <c r="G91" t="s">
        <v>49</v>
      </c>
      <c r="H91">
        <v>1328.99</v>
      </c>
      <c r="I91">
        <v>0</v>
      </c>
      <c r="J91" t="s">
        <v>28</v>
      </c>
      <c r="K91" t="s">
        <v>82</v>
      </c>
      <c r="L91">
        <v>65</v>
      </c>
      <c r="M91">
        <v>12</v>
      </c>
      <c r="N91" t="s">
        <v>30</v>
      </c>
    </row>
    <row r="92" spans="1:14" x14ac:dyDescent="0.35">
      <c r="A92" t="s">
        <v>226</v>
      </c>
      <c r="B92" t="s">
        <v>227</v>
      </c>
      <c r="C92">
        <v>2023</v>
      </c>
      <c r="D92" t="s">
        <v>67</v>
      </c>
      <c r="E92" t="s">
        <v>26</v>
      </c>
      <c r="F92" t="s">
        <v>68</v>
      </c>
      <c r="G92" t="s">
        <v>40</v>
      </c>
      <c r="H92">
        <v>2443</v>
      </c>
      <c r="I92">
        <v>0</v>
      </c>
      <c r="J92" t="s">
        <v>28</v>
      </c>
      <c r="K92" t="s">
        <v>71</v>
      </c>
      <c r="L92">
        <v>41</v>
      </c>
      <c r="M92">
        <v>12</v>
      </c>
      <c r="N92" t="s">
        <v>30</v>
      </c>
    </row>
    <row r="93" spans="1:14" x14ac:dyDescent="0.35">
      <c r="A93" t="s">
        <v>228</v>
      </c>
      <c r="B93" t="s">
        <v>229</v>
      </c>
      <c r="C93">
        <v>2023</v>
      </c>
      <c r="D93" t="s">
        <v>74</v>
      </c>
      <c r="E93" t="s">
        <v>17</v>
      </c>
      <c r="F93" t="s">
        <v>18</v>
      </c>
      <c r="G93" t="s">
        <v>19</v>
      </c>
      <c r="H93">
        <v>2685.97</v>
      </c>
      <c r="I93">
        <v>0</v>
      </c>
      <c r="J93" t="s">
        <v>28</v>
      </c>
      <c r="K93" t="s">
        <v>29</v>
      </c>
      <c r="L93">
        <v>55</v>
      </c>
      <c r="M93">
        <v>2</v>
      </c>
      <c r="N93" t="s">
        <v>30</v>
      </c>
    </row>
    <row r="94" spans="1:14" x14ac:dyDescent="0.35">
      <c r="A94" t="s">
        <v>230</v>
      </c>
      <c r="B94" t="s">
        <v>231</v>
      </c>
      <c r="C94">
        <v>2023</v>
      </c>
      <c r="D94" t="s">
        <v>52</v>
      </c>
      <c r="E94" t="s">
        <v>17</v>
      </c>
      <c r="F94" t="s">
        <v>39</v>
      </c>
      <c r="G94" t="s">
        <v>49</v>
      </c>
      <c r="H94">
        <v>1567.89</v>
      </c>
      <c r="I94">
        <v>1198.1400000000001</v>
      </c>
      <c r="J94" t="s">
        <v>20</v>
      </c>
      <c r="K94" t="s">
        <v>29</v>
      </c>
      <c r="L94">
        <v>56</v>
      </c>
      <c r="M94">
        <v>5</v>
      </c>
      <c r="N94" t="s">
        <v>22</v>
      </c>
    </row>
    <row r="95" spans="1:14" x14ac:dyDescent="0.35">
      <c r="A95" t="s">
        <v>232</v>
      </c>
      <c r="B95" t="s">
        <v>233</v>
      </c>
      <c r="C95">
        <v>2024</v>
      </c>
      <c r="D95" t="s">
        <v>56</v>
      </c>
      <c r="E95" t="s">
        <v>17</v>
      </c>
      <c r="F95" t="s">
        <v>18</v>
      </c>
      <c r="G95" t="s">
        <v>19</v>
      </c>
      <c r="H95">
        <v>2792.44</v>
      </c>
      <c r="I95">
        <v>3235.5</v>
      </c>
      <c r="J95" t="s">
        <v>34</v>
      </c>
      <c r="K95" t="s">
        <v>45</v>
      </c>
      <c r="L95">
        <v>66</v>
      </c>
      <c r="M95">
        <v>10</v>
      </c>
      <c r="N95" t="s">
        <v>22</v>
      </c>
    </row>
    <row r="96" spans="1:14" x14ac:dyDescent="0.35">
      <c r="A96" t="s">
        <v>234</v>
      </c>
      <c r="B96" t="s">
        <v>235</v>
      </c>
      <c r="C96">
        <v>2024</v>
      </c>
      <c r="D96" t="s">
        <v>48</v>
      </c>
      <c r="E96" t="s">
        <v>53</v>
      </c>
      <c r="F96" t="s">
        <v>39</v>
      </c>
      <c r="G96" t="s">
        <v>49</v>
      </c>
      <c r="H96">
        <v>1470.39</v>
      </c>
      <c r="I96">
        <v>1071.9000000000001</v>
      </c>
      <c r="J96" t="s">
        <v>34</v>
      </c>
      <c r="K96" t="s">
        <v>45</v>
      </c>
      <c r="L96">
        <v>36</v>
      </c>
      <c r="M96">
        <v>6</v>
      </c>
      <c r="N96" t="s">
        <v>22</v>
      </c>
    </row>
    <row r="97" spans="1:14" x14ac:dyDescent="0.35">
      <c r="A97" t="s">
        <v>236</v>
      </c>
      <c r="B97" t="s">
        <v>237</v>
      </c>
      <c r="C97">
        <v>2023</v>
      </c>
      <c r="D97" t="s">
        <v>74</v>
      </c>
      <c r="E97" t="s">
        <v>53</v>
      </c>
      <c r="F97" t="s">
        <v>18</v>
      </c>
      <c r="G97" t="s">
        <v>40</v>
      </c>
      <c r="H97">
        <v>1955.86</v>
      </c>
      <c r="I97">
        <v>0</v>
      </c>
      <c r="J97" t="s">
        <v>28</v>
      </c>
      <c r="K97" t="s">
        <v>82</v>
      </c>
      <c r="L97">
        <v>26</v>
      </c>
      <c r="M97">
        <v>9</v>
      </c>
      <c r="N97" t="s">
        <v>30</v>
      </c>
    </row>
    <row r="98" spans="1:14" x14ac:dyDescent="0.35">
      <c r="A98" t="s">
        <v>238</v>
      </c>
      <c r="B98" t="s">
        <v>239</v>
      </c>
      <c r="C98">
        <v>2023</v>
      </c>
      <c r="D98" t="s">
        <v>43</v>
      </c>
      <c r="E98" t="s">
        <v>53</v>
      </c>
      <c r="F98" t="s">
        <v>44</v>
      </c>
      <c r="G98" t="s">
        <v>19</v>
      </c>
      <c r="H98">
        <v>2254.23</v>
      </c>
      <c r="I98">
        <v>2695.26</v>
      </c>
      <c r="J98" t="s">
        <v>20</v>
      </c>
      <c r="K98" t="s">
        <v>29</v>
      </c>
      <c r="L98">
        <v>34</v>
      </c>
      <c r="M98">
        <v>7</v>
      </c>
      <c r="N98" t="s">
        <v>22</v>
      </c>
    </row>
    <row r="99" spans="1:14" x14ac:dyDescent="0.35">
      <c r="A99" t="s">
        <v>240</v>
      </c>
      <c r="B99" t="s">
        <v>241</v>
      </c>
      <c r="C99">
        <v>2024</v>
      </c>
      <c r="D99" t="s">
        <v>43</v>
      </c>
      <c r="E99" t="s">
        <v>17</v>
      </c>
      <c r="F99" t="s">
        <v>68</v>
      </c>
      <c r="G99" t="s">
        <v>40</v>
      </c>
      <c r="H99">
        <v>1978.53</v>
      </c>
      <c r="I99">
        <v>1886.96</v>
      </c>
      <c r="J99" t="s">
        <v>88</v>
      </c>
      <c r="K99" t="s">
        <v>29</v>
      </c>
      <c r="L99">
        <v>50</v>
      </c>
      <c r="M99">
        <v>12</v>
      </c>
      <c r="N99" t="s">
        <v>22</v>
      </c>
    </row>
    <row r="100" spans="1:14" x14ac:dyDescent="0.35">
      <c r="A100" t="s">
        <v>242</v>
      </c>
      <c r="B100" t="s">
        <v>243</v>
      </c>
      <c r="C100">
        <v>2023</v>
      </c>
      <c r="D100" t="s">
        <v>56</v>
      </c>
      <c r="E100" t="s">
        <v>53</v>
      </c>
      <c r="F100" t="s">
        <v>44</v>
      </c>
      <c r="G100" t="s">
        <v>19</v>
      </c>
      <c r="H100">
        <v>2187.7800000000002</v>
      </c>
      <c r="I100">
        <v>0</v>
      </c>
      <c r="J100" t="s">
        <v>28</v>
      </c>
      <c r="K100" t="s">
        <v>45</v>
      </c>
      <c r="L100">
        <v>38</v>
      </c>
      <c r="M100">
        <v>7</v>
      </c>
      <c r="N100" t="s">
        <v>30</v>
      </c>
    </row>
    <row r="101" spans="1:14" x14ac:dyDescent="0.35">
      <c r="A101" t="s">
        <v>244</v>
      </c>
      <c r="B101" t="s">
        <v>187</v>
      </c>
      <c r="C101">
        <v>2023</v>
      </c>
      <c r="D101" t="s">
        <v>67</v>
      </c>
      <c r="E101" t="s">
        <v>53</v>
      </c>
      <c r="F101" t="s">
        <v>39</v>
      </c>
      <c r="G101" t="s">
        <v>49</v>
      </c>
      <c r="H101">
        <v>1453.14</v>
      </c>
      <c r="I101">
        <v>1037.21</v>
      </c>
      <c r="J101" t="s">
        <v>34</v>
      </c>
      <c r="K101" t="s">
        <v>45</v>
      </c>
      <c r="L101">
        <v>44</v>
      </c>
      <c r="M101">
        <v>6</v>
      </c>
      <c r="N101" t="s">
        <v>22</v>
      </c>
    </row>
    <row r="102" spans="1:14" x14ac:dyDescent="0.35">
      <c r="A102" t="s">
        <v>245</v>
      </c>
      <c r="B102" t="s">
        <v>121</v>
      </c>
      <c r="C102">
        <v>2023</v>
      </c>
      <c r="D102" t="s">
        <v>43</v>
      </c>
      <c r="E102" t="s">
        <v>17</v>
      </c>
      <c r="F102" t="s">
        <v>27</v>
      </c>
      <c r="G102" t="s">
        <v>19</v>
      </c>
      <c r="H102">
        <v>2562.7399999999998</v>
      </c>
      <c r="I102">
        <v>0</v>
      </c>
      <c r="J102" t="s">
        <v>28</v>
      </c>
      <c r="K102" t="s">
        <v>45</v>
      </c>
      <c r="L102">
        <v>53</v>
      </c>
      <c r="M102">
        <v>8</v>
      </c>
      <c r="N102" t="s">
        <v>30</v>
      </c>
    </row>
    <row r="103" spans="1:14" x14ac:dyDescent="0.35">
      <c r="A103" t="s">
        <v>246</v>
      </c>
      <c r="B103" t="s">
        <v>247</v>
      </c>
      <c r="C103">
        <v>2023</v>
      </c>
      <c r="D103" t="s">
        <v>48</v>
      </c>
      <c r="E103" t="s">
        <v>53</v>
      </c>
      <c r="F103" t="s">
        <v>68</v>
      </c>
      <c r="G103" t="s">
        <v>49</v>
      </c>
      <c r="H103">
        <v>1578.77</v>
      </c>
      <c r="I103">
        <v>1118.6199999999999</v>
      </c>
      <c r="J103" t="s">
        <v>34</v>
      </c>
      <c r="K103" t="s">
        <v>77</v>
      </c>
      <c r="L103">
        <v>41</v>
      </c>
      <c r="M103">
        <v>12</v>
      </c>
      <c r="N103" t="s">
        <v>22</v>
      </c>
    </row>
    <row r="104" spans="1:14" x14ac:dyDescent="0.35">
      <c r="A104" t="s">
        <v>248</v>
      </c>
      <c r="B104" t="s">
        <v>249</v>
      </c>
      <c r="C104">
        <v>2024</v>
      </c>
      <c r="D104" t="s">
        <v>37</v>
      </c>
      <c r="E104" t="s">
        <v>26</v>
      </c>
      <c r="F104" t="s">
        <v>44</v>
      </c>
      <c r="G104" t="s">
        <v>40</v>
      </c>
      <c r="H104">
        <v>2289.56</v>
      </c>
      <c r="I104">
        <v>0</v>
      </c>
      <c r="J104" t="s">
        <v>28</v>
      </c>
      <c r="K104" t="s">
        <v>64</v>
      </c>
      <c r="L104">
        <v>68</v>
      </c>
      <c r="M104">
        <v>4</v>
      </c>
      <c r="N104" t="s">
        <v>30</v>
      </c>
    </row>
    <row r="105" spans="1:14" x14ac:dyDescent="0.35">
      <c r="A105" t="s">
        <v>250</v>
      </c>
      <c r="B105" t="s">
        <v>156</v>
      </c>
      <c r="C105">
        <v>2023</v>
      </c>
      <c r="D105" t="s">
        <v>25</v>
      </c>
      <c r="E105" t="s">
        <v>53</v>
      </c>
      <c r="F105" t="s">
        <v>18</v>
      </c>
      <c r="G105" t="s">
        <v>40</v>
      </c>
      <c r="H105">
        <v>1905.15</v>
      </c>
      <c r="I105">
        <v>1857.99</v>
      </c>
      <c r="J105" t="s">
        <v>34</v>
      </c>
      <c r="K105" t="s">
        <v>64</v>
      </c>
      <c r="L105">
        <v>37</v>
      </c>
      <c r="M105">
        <v>2</v>
      </c>
      <c r="N105" t="s">
        <v>22</v>
      </c>
    </row>
    <row r="106" spans="1:14" x14ac:dyDescent="0.35">
      <c r="A106" t="s">
        <v>251</v>
      </c>
      <c r="B106" t="s">
        <v>252</v>
      </c>
      <c r="C106">
        <v>2023</v>
      </c>
      <c r="D106" t="s">
        <v>74</v>
      </c>
      <c r="E106" t="s">
        <v>26</v>
      </c>
      <c r="F106" t="s">
        <v>44</v>
      </c>
      <c r="G106" t="s">
        <v>19</v>
      </c>
      <c r="H106">
        <v>3230.42</v>
      </c>
      <c r="I106">
        <v>0</v>
      </c>
      <c r="J106" t="s">
        <v>28</v>
      </c>
      <c r="K106" t="s">
        <v>45</v>
      </c>
      <c r="L106">
        <v>59</v>
      </c>
      <c r="M106">
        <v>8</v>
      </c>
      <c r="N106" t="s">
        <v>30</v>
      </c>
    </row>
    <row r="107" spans="1:14" x14ac:dyDescent="0.35">
      <c r="A107" t="s">
        <v>253</v>
      </c>
      <c r="B107" t="s">
        <v>254</v>
      </c>
      <c r="C107">
        <v>2024</v>
      </c>
      <c r="D107" t="s">
        <v>74</v>
      </c>
      <c r="E107" t="s">
        <v>63</v>
      </c>
      <c r="F107" t="s">
        <v>44</v>
      </c>
      <c r="G107" t="s">
        <v>40</v>
      </c>
      <c r="H107">
        <v>1388.97</v>
      </c>
      <c r="I107">
        <v>0</v>
      </c>
      <c r="J107" t="s">
        <v>28</v>
      </c>
      <c r="K107" t="s">
        <v>57</v>
      </c>
      <c r="L107">
        <v>50</v>
      </c>
      <c r="M107">
        <v>9</v>
      </c>
      <c r="N107" t="s">
        <v>30</v>
      </c>
    </row>
    <row r="108" spans="1:14" x14ac:dyDescent="0.35">
      <c r="A108" t="s">
        <v>255</v>
      </c>
      <c r="B108" t="s">
        <v>256</v>
      </c>
      <c r="C108">
        <v>2023</v>
      </c>
      <c r="D108" t="s">
        <v>85</v>
      </c>
      <c r="E108" t="s">
        <v>17</v>
      </c>
      <c r="F108" t="s">
        <v>18</v>
      </c>
      <c r="G108" t="s">
        <v>19</v>
      </c>
      <c r="H108">
        <v>2796.99</v>
      </c>
      <c r="I108">
        <v>3133.9</v>
      </c>
      <c r="J108" t="s">
        <v>88</v>
      </c>
      <c r="K108" t="s">
        <v>64</v>
      </c>
      <c r="L108">
        <v>54</v>
      </c>
      <c r="M108">
        <v>3</v>
      </c>
      <c r="N108" t="s">
        <v>22</v>
      </c>
    </row>
    <row r="109" spans="1:14" x14ac:dyDescent="0.35">
      <c r="A109" t="s">
        <v>257</v>
      </c>
      <c r="B109" t="s">
        <v>258</v>
      </c>
      <c r="C109">
        <v>2024</v>
      </c>
      <c r="D109" t="s">
        <v>43</v>
      </c>
      <c r="E109" t="s">
        <v>38</v>
      </c>
      <c r="F109" t="s">
        <v>27</v>
      </c>
      <c r="G109" t="s">
        <v>19</v>
      </c>
      <c r="H109">
        <v>1102.2</v>
      </c>
      <c r="I109">
        <v>1301.76</v>
      </c>
      <c r="J109" t="s">
        <v>34</v>
      </c>
      <c r="K109" t="s">
        <v>77</v>
      </c>
      <c r="L109">
        <v>59</v>
      </c>
      <c r="M109">
        <v>4</v>
      </c>
      <c r="N109" t="s">
        <v>22</v>
      </c>
    </row>
    <row r="110" spans="1:14" x14ac:dyDescent="0.35">
      <c r="A110" t="s">
        <v>259</v>
      </c>
      <c r="B110" t="s">
        <v>241</v>
      </c>
      <c r="C110">
        <v>2024</v>
      </c>
      <c r="D110" t="s">
        <v>43</v>
      </c>
      <c r="E110" t="s">
        <v>63</v>
      </c>
      <c r="F110" t="s">
        <v>68</v>
      </c>
      <c r="G110" t="s">
        <v>49</v>
      </c>
      <c r="H110">
        <v>1308.19</v>
      </c>
      <c r="I110">
        <v>0</v>
      </c>
      <c r="J110" t="s">
        <v>28</v>
      </c>
      <c r="K110" t="s">
        <v>21</v>
      </c>
      <c r="L110">
        <v>57</v>
      </c>
      <c r="M110">
        <v>8</v>
      </c>
      <c r="N110" t="s">
        <v>30</v>
      </c>
    </row>
    <row r="111" spans="1:14" x14ac:dyDescent="0.35">
      <c r="A111" t="s">
        <v>260</v>
      </c>
      <c r="B111" t="s">
        <v>261</v>
      </c>
      <c r="C111">
        <v>2023</v>
      </c>
      <c r="D111" t="s">
        <v>43</v>
      </c>
      <c r="E111" t="s">
        <v>63</v>
      </c>
      <c r="F111" t="s">
        <v>68</v>
      </c>
      <c r="G111" t="s">
        <v>19</v>
      </c>
      <c r="H111">
        <v>1836.8</v>
      </c>
      <c r="I111">
        <v>1874.13</v>
      </c>
      <c r="J111" t="s">
        <v>20</v>
      </c>
      <c r="K111" t="s">
        <v>29</v>
      </c>
      <c r="L111">
        <v>65</v>
      </c>
      <c r="M111">
        <v>10</v>
      </c>
      <c r="N111" t="s">
        <v>22</v>
      </c>
    </row>
    <row r="112" spans="1:14" x14ac:dyDescent="0.35">
      <c r="A112" t="s">
        <v>262</v>
      </c>
      <c r="B112" t="s">
        <v>263</v>
      </c>
      <c r="C112">
        <v>2023</v>
      </c>
      <c r="D112" t="s">
        <v>25</v>
      </c>
      <c r="E112" t="s">
        <v>17</v>
      </c>
      <c r="F112" t="s">
        <v>68</v>
      </c>
      <c r="G112" t="s">
        <v>19</v>
      </c>
      <c r="H112">
        <v>2578.86</v>
      </c>
      <c r="I112">
        <v>0</v>
      </c>
      <c r="J112" t="s">
        <v>28</v>
      </c>
      <c r="K112" t="s">
        <v>77</v>
      </c>
      <c r="L112">
        <v>32</v>
      </c>
      <c r="M112">
        <v>4</v>
      </c>
      <c r="N112" t="s">
        <v>30</v>
      </c>
    </row>
    <row r="113" spans="1:14" x14ac:dyDescent="0.35">
      <c r="A113" t="s">
        <v>264</v>
      </c>
      <c r="B113" t="s">
        <v>265</v>
      </c>
      <c r="C113">
        <v>2024</v>
      </c>
      <c r="D113" t="s">
        <v>74</v>
      </c>
      <c r="E113" t="s">
        <v>63</v>
      </c>
      <c r="F113" t="s">
        <v>39</v>
      </c>
      <c r="G113" t="s">
        <v>19</v>
      </c>
      <c r="H113">
        <v>1864.36</v>
      </c>
      <c r="I113">
        <v>0</v>
      </c>
      <c r="J113" t="s">
        <v>28</v>
      </c>
      <c r="K113" t="s">
        <v>57</v>
      </c>
      <c r="L113">
        <v>21</v>
      </c>
      <c r="M113">
        <v>7</v>
      </c>
      <c r="N113" t="s">
        <v>30</v>
      </c>
    </row>
    <row r="114" spans="1:14" x14ac:dyDescent="0.35">
      <c r="A114" t="s">
        <v>266</v>
      </c>
      <c r="B114" t="s">
        <v>267</v>
      </c>
      <c r="C114">
        <v>2023</v>
      </c>
      <c r="D114" t="s">
        <v>25</v>
      </c>
      <c r="E114" t="s">
        <v>38</v>
      </c>
      <c r="F114" t="s">
        <v>44</v>
      </c>
      <c r="G114" t="s">
        <v>40</v>
      </c>
      <c r="H114">
        <v>742.25</v>
      </c>
      <c r="I114">
        <v>0</v>
      </c>
      <c r="J114" t="s">
        <v>28</v>
      </c>
      <c r="K114" t="s">
        <v>64</v>
      </c>
      <c r="L114">
        <v>57</v>
      </c>
      <c r="M114">
        <v>10</v>
      </c>
      <c r="N114" t="s">
        <v>30</v>
      </c>
    </row>
    <row r="115" spans="1:14" x14ac:dyDescent="0.35">
      <c r="A115" t="s">
        <v>268</v>
      </c>
      <c r="B115" t="s">
        <v>269</v>
      </c>
      <c r="C115">
        <v>2023</v>
      </c>
      <c r="D115" t="s">
        <v>56</v>
      </c>
      <c r="E115" t="s">
        <v>38</v>
      </c>
      <c r="F115" t="s">
        <v>68</v>
      </c>
      <c r="G115" t="s">
        <v>49</v>
      </c>
      <c r="H115">
        <v>724.56</v>
      </c>
      <c r="I115">
        <v>0</v>
      </c>
      <c r="J115" t="s">
        <v>28</v>
      </c>
      <c r="K115" t="s">
        <v>21</v>
      </c>
      <c r="L115">
        <v>27</v>
      </c>
      <c r="M115">
        <v>8</v>
      </c>
      <c r="N115" t="s">
        <v>30</v>
      </c>
    </row>
    <row r="116" spans="1:14" x14ac:dyDescent="0.35">
      <c r="A116" t="s">
        <v>270</v>
      </c>
      <c r="B116" t="s">
        <v>177</v>
      </c>
      <c r="C116">
        <v>2023</v>
      </c>
      <c r="D116" t="s">
        <v>60</v>
      </c>
      <c r="E116" t="s">
        <v>38</v>
      </c>
      <c r="F116" t="s">
        <v>27</v>
      </c>
      <c r="G116" t="s">
        <v>40</v>
      </c>
      <c r="H116">
        <v>844.29</v>
      </c>
      <c r="I116">
        <v>0</v>
      </c>
      <c r="J116" t="s">
        <v>28</v>
      </c>
      <c r="K116" t="s">
        <v>82</v>
      </c>
      <c r="L116">
        <v>68</v>
      </c>
      <c r="M116">
        <v>8</v>
      </c>
      <c r="N116" t="s">
        <v>30</v>
      </c>
    </row>
    <row r="117" spans="1:14" x14ac:dyDescent="0.35">
      <c r="A117" t="s">
        <v>271</v>
      </c>
      <c r="B117" t="s">
        <v>227</v>
      </c>
      <c r="C117">
        <v>2023</v>
      </c>
      <c r="D117" t="s">
        <v>67</v>
      </c>
      <c r="E117" t="s">
        <v>38</v>
      </c>
      <c r="F117" t="s">
        <v>39</v>
      </c>
      <c r="G117" t="s">
        <v>40</v>
      </c>
      <c r="H117">
        <v>759.08</v>
      </c>
      <c r="I117">
        <v>648.98</v>
      </c>
      <c r="J117" t="s">
        <v>20</v>
      </c>
      <c r="K117" t="s">
        <v>71</v>
      </c>
      <c r="L117">
        <v>68</v>
      </c>
      <c r="M117">
        <v>4</v>
      </c>
      <c r="N117" t="s">
        <v>22</v>
      </c>
    </row>
    <row r="118" spans="1:14" x14ac:dyDescent="0.35">
      <c r="A118" t="s">
        <v>272</v>
      </c>
      <c r="B118" t="s">
        <v>273</v>
      </c>
      <c r="C118">
        <v>2024</v>
      </c>
      <c r="D118" t="s">
        <v>85</v>
      </c>
      <c r="E118" t="s">
        <v>63</v>
      </c>
      <c r="F118" t="s">
        <v>44</v>
      </c>
      <c r="G118" t="s">
        <v>49</v>
      </c>
      <c r="H118">
        <v>1291.8900000000001</v>
      </c>
      <c r="I118">
        <v>0</v>
      </c>
      <c r="J118" t="s">
        <v>28</v>
      </c>
      <c r="K118" t="s">
        <v>29</v>
      </c>
      <c r="L118">
        <v>40</v>
      </c>
      <c r="M118">
        <v>4</v>
      </c>
      <c r="N118" t="s">
        <v>30</v>
      </c>
    </row>
    <row r="119" spans="1:14" x14ac:dyDescent="0.35">
      <c r="A119" t="s">
        <v>274</v>
      </c>
      <c r="B119" t="s">
        <v>275</v>
      </c>
      <c r="C119">
        <v>2024</v>
      </c>
      <c r="D119" t="s">
        <v>67</v>
      </c>
      <c r="E119" t="s">
        <v>17</v>
      </c>
      <c r="F119" t="s">
        <v>68</v>
      </c>
      <c r="G119" t="s">
        <v>19</v>
      </c>
      <c r="H119">
        <v>2431.7600000000002</v>
      </c>
      <c r="I119">
        <v>0</v>
      </c>
      <c r="J119" t="s">
        <v>28</v>
      </c>
      <c r="K119" t="s">
        <v>45</v>
      </c>
      <c r="L119">
        <v>26</v>
      </c>
      <c r="M119">
        <v>7</v>
      </c>
      <c r="N119" t="s">
        <v>30</v>
      </c>
    </row>
    <row r="120" spans="1:14" x14ac:dyDescent="0.35">
      <c r="A120" t="s">
        <v>276</v>
      </c>
      <c r="B120" t="s">
        <v>277</v>
      </c>
      <c r="C120">
        <v>2023</v>
      </c>
      <c r="D120" t="s">
        <v>56</v>
      </c>
      <c r="E120" t="s">
        <v>38</v>
      </c>
      <c r="F120" t="s">
        <v>27</v>
      </c>
      <c r="G120" t="s">
        <v>19</v>
      </c>
      <c r="H120">
        <v>979.53</v>
      </c>
      <c r="I120">
        <v>1153.9100000000001</v>
      </c>
      <c r="J120" t="s">
        <v>20</v>
      </c>
      <c r="K120" t="s">
        <v>21</v>
      </c>
      <c r="L120">
        <v>71</v>
      </c>
      <c r="M120">
        <v>8</v>
      </c>
      <c r="N120" t="s">
        <v>22</v>
      </c>
    </row>
    <row r="121" spans="1:14" x14ac:dyDescent="0.35">
      <c r="A121" t="s">
        <v>278</v>
      </c>
      <c r="B121" t="s">
        <v>279</v>
      </c>
      <c r="C121">
        <v>2023</v>
      </c>
      <c r="D121" t="s">
        <v>25</v>
      </c>
      <c r="E121" t="s">
        <v>26</v>
      </c>
      <c r="F121" t="s">
        <v>44</v>
      </c>
      <c r="G121" t="s">
        <v>49</v>
      </c>
      <c r="H121">
        <v>1998.95</v>
      </c>
      <c r="I121">
        <v>0</v>
      </c>
      <c r="J121" t="s">
        <v>28</v>
      </c>
      <c r="K121" t="s">
        <v>64</v>
      </c>
      <c r="L121">
        <v>51</v>
      </c>
      <c r="M121">
        <v>4</v>
      </c>
      <c r="N121" t="s">
        <v>30</v>
      </c>
    </row>
    <row r="122" spans="1:14" x14ac:dyDescent="0.35">
      <c r="A122" t="s">
        <v>280</v>
      </c>
      <c r="B122" t="s">
        <v>281</v>
      </c>
      <c r="C122">
        <v>2024</v>
      </c>
      <c r="D122" t="s">
        <v>56</v>
      </c>
      <c r="E122" t="s">
        <v>63</v>
      </c>
      <c r="F122" t="s">
        <v>44</v>
      </c>
      <c r="G122" t="s">
        <v>40</v>
      </c>
      <c r="H122">
        <v>1569.7</v>
      </c>
      <c r="I122">
        <v>0</v>
      </c>
      <c r="J122" t="s">
        <v>28</v>
      </c>
      <c r="K122" t="s">
        <v>71</v>
      </c>
      <c r="L122">
        <v>68</v>
      </c>
      <c r="M122">
        <v>4</v>
      </c>
      <c r="N122" t="s">
        <v>30</v>
      </c>
    </row>
    <row r="123" spans="1:14" x14ac:dyDescent="0.35">
      <c r="A123" t="s">
        <v>282</v>
      </c>
      <c r="B123" t="s">
        <v>283</v>
      </c>
      <c r="C123">
        <v>2023</v>
      </c>
      <c r="D123" t="s">
        <v>25</v>
      </c>
      <c r="E123" t="s">
        <v>17</v>
      </c>
      <c r="F123" t="s">
        <v>27</v>
      </c>
      <c r="G123" t="s">
        <v>40</v>
      </c>
      <c r="H123">
        <v>2152.88</v>
      </c>
      <c r="I123">
        <v>0</v>
      </c>
      <c r="J123" t="s">
        <v>28</v>
      </c>
      <c r="K123" t="s">
        <v>77</v>
      </c>
      <c r="L123">
        <v>43</v>
      </c>
      <c r="M123">
        <v>2</v>
      </c>
      <c r="N123" t="s">
        <v>30</v>
      </c>
    </row>
    <row r="124" spans="1:14" x14ac:dyDescent="0.35">
      <c r="A124" t="s">
        <v>284</v>
      </c>
      <c r="B124" t="s">
        <v>285</v>
      </c>
      <c r="C124">
        <v>2024</v>
      </c>
      <c r="D124" t="s">
        <v>74</v>
      </c>
      <c r="E124" t="s">
        <v>38</v>
      </c>
      <c r="F124" t="s">
        <v>39</v>
      </c>
      <c r="G124" t="s">
        <v>49</v>
      </c>
      <c r="H124">
        <v>682.7</v>
      </c>
      <c r="I124">
        <v>0</v>
      </c>
      <c r="J124" t="s">
        <v>28</v>
      </c>
      <c r="K124" t="s">
        <v>57</v>
      </c>
      <c r="L124">
        <v>49</v>
      </c>
      <c r="M124">
        <v>11</v>
      </c>
      <c r="N124" t="s">
        <v>30</v>
      </c>
    </row>
    <row r="125" spans="1:14" x14ac:dyDescent="0.35">
      <c r="A125" t="s">
        <v>286</v>
      </c>
      <c r="B125" t="s">
        <v>287</v>
      </c>
      <c r="C125">
        <v>2024</v>
      </c>
      <c r="D125" t="s">
        <v>52</v>
      </c>
      <c r="E125" t="s">
        <v>38</v>
      </c>
      <c r="F125" t="s">
        <v>39</v>
      </c>
      <c r="G125" t="s">
        <v>19</v>
      </c>
      <c r="H125">
        <v>1130.69</v>
      </c>
      <c r="I125">
        <v>0</v>
      </c>
      <c r="J125" t="s">
        <v>28</v>
      </c>
      <c r="K125" t="s">
        <v>29</v>
      </c>
      <c r="L125">
        <v>61</v>
      </c>
      <c r="M125">
        <v>7</v>
      </c>
      <c r="N125" t="s">
        <v>30</v>
      </c>
    </row>
    <row r="126" spans="1:14" x14ac:dyDescent="0.35">
      <c r="A126" t="s">
        <v>288</v>
      </c>
      <c r="B126" t="s">
        <v>289</v>
      </c>
      <c r="C126">
        <v>2024</v>
      </c>
      <c r="D126" t="s">
        <v>25</v>
      </c>
      <c r="E126" t="s">
        <v>53</v>
      </c>
      <c r="F126" t="s">
        <v>18</v>
      </c>
      <c r="G126" t="s">
        <v>49</v>
      </c>
      <c r="H126">
        <v>1452.94</v>
      </c>
      <c r="I126">
        <v>0</v>
      </c>
      <c r="J126" t="s">
        <v>28</v>
      </c>
      <c r="K126" t="s">
        <v>64</v>
      </c>
      <c r="L126">
        <v>31</v>
      </c>
      <c r="M126">
        <v>3</v>
      </c>
      <c r="N126" t="s">
        <v>30</v>
      </c>
    </row>
    <row r="127" spans="1:14" x14ac:dyDescent="0.35">
      <c r="A127" t="s">
        <v>290</v>
      </c>
      <c r="B127" t="s">
        <v>291</v>
      </c>
      <c r="C127">
        <v>2024</v>
      </c>
      <c r="D127" t="s">
        <v>37</v>
      </c>
      <c r="E127" t="s">
        <v>26</v>
      </c>
      <c r="F127" t="s">
        <v>68</v>
      </c>
      <c r="G127" t="s">
        <v>40</v>
      </c>
      <c r="H127">
        <v>2494.4699999999998</v>
      </c>
      <c r="I127">
        <v>0</v>
      </c>
      <c r="J127" t="s">
        <v>28</v>
      </c>
      <c r="K127" t="s">
        <v>71</v>
      </c>
      <c r="L127">
        <v>57</v>
      </c>
      <c r="M127">
        <v>11</v>
      </c>
      <c r="N127" t="s">
        <v>30</v>
      </c>
    </row>
    <row r="128" spans="1:14" x14ac:dyDescent="0.35">
      <c r="A128" t="s">
        <v>292</v>
      </c>
      <c r="B128" t="s">
        <v>293</v>
      </c>
      <c r="C128">
        <v>2024</v>
      </c>
      <c r="D128" t="s">
        <v>25</v>
      </c>
      <c r="E128" t="s">
        <v>53</v>
      </c>
      <c r="F128" t="s">
        <v>18</v>
      </c>
      <c r="G128" t="s">
        <v>40</v>
      </c>
      <c r="H128">
        <v>1946.19</v>
      </c>
      <c r="I128">
        <v>0</v>
      </c>
      <c r="J128" t="s">
        <v>28</v>
      </c>
      <c r="K128" t="s">
        <v>82</v>
      </c>
      <c r="L128">
        <v>29</v>
      </c>
      <c r="M128">
        <v>1</v>
      </c>
      <c r="N128" t="s">
        <v>30</v>
      </c>
    </row>
    <row r="129" spans="1:14" x14ac:dyDescent="0.35">
      <c r="A129" t="s">
        <v>294</v>
      </c>
      <c r="B129" t="s">
        <v>295</v>
      </c>
      <c r="C129">
        <v>2023</v>
      </c>
      <c r="D129" t="s">
        <v>48</v>
      </c>
      <c r="E129" t="s">
        <v>38</v>
      </c>
      <c r="F129" t="s">
        <v>68</v>
      </c>
      <c r="G129" t="s">
        <v>49</v>
      </c>
      <c r="H129">
        <v>661.56</v>
      </c>
      <c r="I129">
        <v>502.22</v>
      </c>
      <c r="J129" t="s">
        <v>88</v>
      </c>
      <c r="K129" t="s">
        <v>77</v>
      </c>
      <c r="L129">
        <v>64</v>
      </c>
      <c r="M129">
        <v>12</v>
      </c>
      <c r="N129" t="s">
        <v>22</v>
      </c>
    </row>
    <row r="130" spans="1:14" x14ac:dyDescent="0.35">
      <c r="A130" t="s">
        <v>296</v>
      </c>
      <c r="B130" t="s">
        <v>297</v>
      </c>
      <c r="C130">
        <v>2023</v>
      </c>
      <c r="D130" t="s">
        <v>43</v>
      </c>
      <c r="E130" t="s">
        <v>53</v>
      </c>
      <c r="F130" t="s">
        <v>39</v>
      </c>
      <c r="G130" t="s">
        <v>19</v>
      </c>
      <c r="H130">
        <v>2350.7399999999998</v>
      </c>
      <c r="I130">
        <v>0</v>
      </c>
      <c r="J130" t="s">
        <v>28</v>
      </c>
      <c r="K130" t="s">
        <v>45</v>
      </c>
      <c r="L130">
        <v>41</v>
      </c>
      <c r="M130">
        <v>9</v>
      </c>
      <c r="N130" t="s">
        <v>30</v>
      </c>
    </row>
    <row r="131" spans="1:14" x14ac:dyDescent="0.35">
      <c r="A131" t="s">
        <v>298</v>
      </c>
      <c r="B131" t="s">
        <v>179</v>
      </c>
      <c r="C131">
        <v>2023</v>
      </c>
      <c r="D131" t="s">
        <v>37</v>
      </c>
      <c r="E131" t="s">
        <v>17</v>
      </c>
      <c r="F131" t="s">
        <v>39</v>
      </c>
      <c r="G131" t="s">
        <v>19</v>
      </c>
      <c r="H131">
        <v>2585.7600000000002</v>
      </c>
      <c r="I131">
        <v>2755.67</v>
      </c>
      <c r="J131" t="s">
        <v>34</v>
      </c>
      <c r="K131" t="s">
        <v>45</v>
      </c>
      <c r="L131">
        <v>38</v>
      </c>
      <c r="M131">
        <v>10</v>
      </c>
      <c r="N131" t="s">
        <v>22</v>
      </c>
    </row>
    <row r="132" spans="1:14" x14ac:dyDescent="0.35">
      <c r="A132" t="s">
        <v>299</v>
      </c>
      <c r="B132" t="s">
        <v>293</v>
      </c>
      <c r="C132">
        <v>2024</v>
      </c>
      <c r="D132" t="s">
        <v>25</v>
      </c>
      <c r="E132" t="s">
        <v>38</v>
      </c>
      <c r="F132" t="s">
        <v>44</v>
      </c>
      <c r="G132" t="s">
        <v>19</v>
      </c>
      <c r="H132">
        <v>943.05</v>
      </c>
      <c r="I132">
        <v>0</v>
      </c>
      <c r="J132" t="s">
        <v>28</v>
      </c>
      <c r="K132" t="s">
        <v>82</v>
      </c>
      <c r="L132">
        <v>26</v>
      </c>
      <c r="M132">
        <v>8</v>
      </c>
      <c r="N132" t="s">
        <v>30</v>
      </c>
    </row>
    <row r="133" spans="1:14" x14ac:dyDescent="0.35">
      <c r="A133" t="s">
        <v>300</v>
      </c>
      <c r="B133" t="s">
        <v>301</v>
      </c>
      <c r="C133">
        <v>2024</v>
      </c>
      <c r="D133" t="s">
        <v>43</v>
      </c>
      <c r="E133" t="s">
        <v>26</v>
      </c>
      <c r="F133" t="s">
        <v>18</v>
      </c>
      <c r="G133" t="s">
        <v>49</v>
      </c>
      <c r="H133">
        <v>1970.73</v>
      </c>
      <c r="I133">
        <v>0</v>
      </c>
      <c r="J133" t="s">
        <v>28</v>
      </c>
      <c r="K133" t="s">
        <v>57</v>
      </c>
      <c r="L133">
        <v>28</v>
      </c>
      <c r="M133">
        <v>8</v>
      </c>
      <c r="N133" t="s">
        <v>30</v>
      </c>
    </row>
    <row r="134" spans="1:14" x14ac:dyDescent="0.35">
      <c r="A134" t="s">
        <v>302</v>
      </c>
      <c r="B134" t="s">
        <v>142</v>
      </c>
      <c r="C134">
        <v>2024</v>
      </c>
      <c r="D134" t="s">
        <v>85</v>
      </c>
      <c r="E134" t="s">
        <v>38</v>
      </c>
      <c r="F134" t="s">
        <v>44</v>
      </c>
      <c r="G134" t="s">
        <v>49</v>
      </c>
      <c r="H134">
        <v>714.18</v>
      </c>
      <c r="I134">
        <v>532.65</v>
      </c>
      <c r="J134" t="s">
        <v>20</v>
      </c>
      <c r="K134" t="s">
        <v>45</v>
      </c>
      <c r="L134">
        <v>61</v>
      </c>
      <c r="M134">
        <v>3</v>
      </c>
      <c r="N134" t="s">
        <v>22</v>
      </c>
    </row>
    <row r="135" spans="1:14" x14ac:dyDescent="0.35">
      <c r="A135" t="s">
        <v>303</v>
      </c>
      <c r="B135" t="s">
        <v>304</v>
      </c>
      <c r="C135">
        <v>2023</v>
      </c>
      <c r="D135" t="s">
        <v>67</v>
      </c>
      <c r="E135" t="s">
        <v>63</v>
      </c>
      <c r="F135" t="s">
        <v>68</v>
      </c>
      <c r="G135" t="s">
        <v>40</v>
      </c>
      <c r="H135">
        <v>1592.48</v>
      </c>
      <c r="I135">
        <v>1625.97</v>
      </c>
      <c r="J135" t="s">
        <v>34</v>
      </c>
      <c r="K135" t="s">
        <v>57</v>
      </c>
      <c r="L135">
        <v>61</v>
      </c>
      <c r="M135">
        <v>12</v>
      </c>
      <c r="N135" t="s">
        <v>22</v>
      </c>
    </row>
    <row r="136" spans="1:14" x14ac:dyDescent="0.35">
      <c r="A136" t="s">
        <v>305</v>
      </c>
      <c r="B136" t="s">
        <v>306</v>
      </c>
      <c r="C136">
        <v>2023</v>
      </c>
      <c r="D136" t="s">
        <v>16</v>
      </c>
      <c r="E136" t="s">
        <v>63</v>
      </c>
      <c r="F136" t="s">
        <v>18</v>
      </c>
      <c r="G136" t="s">
        <v>19</v>
      </c>
      <c r="H136">
        <v>1879.24</v>
      </c>
      <c r="I136">
        <v>1882.41</v>
      </c>
      <c r="J136" t="s">
        <v>34</v>
      </c>
      <c r="K136" t="s">
        <v>21</v>
      </c>
      <c r="L136">
        <v>71</v>
      </c>
      <c r="M136">
        <v>7</v>
      </c>
      <c r="N136" t="s">
        <v>22</v>
      </c>
    </row>
    <row r="137" spans="1:14" x14ac:dyDescent="0.35">
      <c r="A137" t="s">
        <v>307</v>
      </c>
      <c r="B137" t="s">
        <v>308</v>
      </c>
      <c r="C137">
        <v>2024</v>
      </c>
      <c r="D137" t="s">
        <v>67</v>
      </c>
      <c r="E137" t="s">
        <v>26</v>
      </c>
      <c r="F137" t="s">
        <v>39</v>
      </c>
      <c r="G137" t="s">
        <v>40</v>
      </c>
      <c r="H137">
        <v>2456.12</v>
      </c>
      <c r="I137">
        <v>2106.5700000000002</v>
      </c>
      <c r="J137" t="s">
        <v>34</v>
      </c>
      <c r="K137" t="s">
        <v>21</v>
      </c>
      <c r="L137">
        <v>65</v>
      </c>
      <c r="M137">
        <v>5</v>
      </c>
      <c r="N137" t="s">
        <v>22</v>
      </c>
    </row>
    <row r="138" spans="1:14" x14ac:dyDescent="0.35">
      <c r="A138" t="s">
        <v>309</v>
      </c>
      <c r="B138" t="s">
        <v>310</v>
      </c>
      <c r="C138">
        <v>2023</v>
      </c>
      <c r="D138" t="s">
        <v>74</v>
      </c>
      <c r="E138" t="s">
        <v>26</v>
      </c>
      <c r="F138" t="s">
        <v>39</v>
      </c>
      <c r="G138" t="s">
        <v>49</v>
      </c>
      <c r="H138">
        <v>1952.87</v>
      </c>
      <c r="I138">
        <v>0</v>
      </c>
      <c r="J138" t="s">
        <v>28</v>
      </c>
      <c r="K138" t="s">
        <v>45</v>
      </c>
      <c r="L138">
        <v>60</v>
      </c>
      <c r="M138">
        <v>7</v>
      </c>
      <c r="N138" t="s">
        <v>30</v>
      </c>
    </row>
    <row r="139" spans="1:14" x14ac:dyDescent="0.35">
      <c r="A139" t="s">
        <v>311</v>
      </c>
      <c r="B139" t="s">
        <v>312</v>
      </c>
      <c r="C139">
        <v>2024</v>
      </c>
      <c r="D139" t="s">
        <v>43</v>
      </c>
      <c r="E139" t="s">
        <v>53</v>
      </c>
      <c r="F139" t="s">
        <v>68</v>
      </c>
      <c r="G139" t="s">
        <v>19</v>
      </c>
      <c r="H139">
        <v>2528.81</v>
      </c>
      <c r="I139">
        <v>0</v>
      </c>
      <c r="J139" t="s">
        <v>28</v>
      </c>
      <c r="K139" t="s">
        <v>64</v>
      </c>
      <c r="L139">
        <v>30</v>
      </c>
      <c r="M139">
        <v>12</v>
      </c>
      <c r="N139" t="s">
        <v>30</v>
      </c>
    </row>
    <row r="140" spans="1:14" x14ac:dyDescent="0.35">
      <c r="A140" t="s">
        <v>313</v>
      </c>
      <c r="B140" t="s">
        <v>193</v>
      </c>
      <c r="C140">
        <v>2023</v>
      </c>
      <c r="D140" t="s">
        <v>25</v>
      </c>
      <c r="E140" t="s">
        <v>63</v>
      </c>
      <c r="F140" t="s">
        <v>39</v>
      </c>
      <c r="G140" t="s">
        <v>40</v>
      </c>
      <c r="H140">
        <v>1615.13</v>
      </c>
      <c r="I140">
        <v>1641.93</v>
      </c>
      <c r="J140" t="s">
        <v>34</v>
      </c>
      <c r="K140" t="s">
        <v>77</v>
      </c>
      <c r="L140">
        <v>32</v>
      </c>
      <c r="M140">
        <v>6</v>
      </c>
      <c r="N140" t="s">
        <v>22</v>
      </c>
    </row>
    <row r="141" spans="1:14" x14ac:dyDescent="0.35">
      <c r="A141" t="s">
        <v>314</v>
      </c>
      <c r="B141" t="s">
        <v>315</v>
      </c>
      <c r="C141">
        <v>2024</v>
      </c>
      <c r="D141" t="s">
        <v>37</v>
      </c>
      <c r="E141" t="s">
        <v>38</v>
      </c>
      <c r="F141" t="s">
        <v>44</v>
      </c>
      <c r="G141" t="s">
        <v>40</v>
      </c>
      <c r="H141">
        <v>858.04</v>
      </c>
      <c r="I141">
        <v>833.34</v>
      </c>
      <c r="J141" t="s">
        <v>34</v>
      </c>
      <c r="K141" t="s">
        <v>57</v>
      </c>
      <c r="L141">
        <v>53</v>
      </c>
      <c r="M141">
        <v>8</v>
      </c>
      <c r="N141" t="s">
        <v>22</v>
      </c>
    </row>
    <row r="142" spans="1:14" x14ac:dyDescent="0.35">
      <c r="A142" t="s">
        <v>316</v>
      </c>
      <c r="B142" t="s">
        <v>317</v>
      </c>
      <c r="C142">
        <v>2024</v>
      </c>
      <c r="D142" t="s">
        <v>43</v>
      </c>
      <c r="E142" t="s">
        <v>26</v>
      </c>
      <c r="F142" t="s">
        <v>44</v>
      </c>
      <c r="G142" t="s">
        <v>19</v>
      </c>
      <c r="H142">
        <v>3246.97</v>
      </c>
      <c r="I142">
        <v>3776.96</v>
      </c>
      <c r="J142" t="s">
        <v>34</v>
      </c>
      <c r="K142" t="s">
        <v>82</v>
      </c>
      <c r="L142">
        <v>28</v>
      </c>
      <c r="M142">
        <v>1</v>
      </c>
      <c r="N142" t="s">
        <v>22</v>
      </c>
    </row>
    <row r="143" spans="1:14" x14ac:dyDescent="0.35">
      <c r="A143" t="s">
        <v>318</v>
      </c>
      <c r="B143" t="s">
        <v>319</v>
      </c>
      <c r="C143">
        <v>2024</v>
      </c>
      <c r="D143" t="s">
        <v>33</v>
      </c>
      <c r="E143" t="s">
        <v>53</v>
      </c>
      <c r="F143" t="s">
        <v>68</v>
      </c>
      <c r="G143" t="s">
        <v>40</v>
      </c>
      <c r="H143">
        <v>1938.45</v>
      </c>
      <c r="I143">
        <v>1997.1</v>
      </c>
      <c r="J143" t="s">
        <v>34</v>
      </c>
      <c r="K143" t="s">
        <v>77</v>
      </c>
      <c r="L143">
        <v>71</v>
      </c>
      <c r="M143">
        <v>10</v>
      </c>
      <c r="N143" t="s">
        <v>22</v>
      </c>
    </row>
    <row r="144" spans="1:14" x14ac:dyDescent="0.35">
      <c r="A144" t="s">
        <v>320</v>
      </c>
      <c r="B144" t="s">
        <v>321</v>
      </c>
      <c r="C144">
        <v>2023</v>
      </c>
      <c r="D144" t="s">
        <v>85</v>
      </c>
      <c r="E144" t="s">
        <v>38</v>
      </c>
      <c r="F144" t="s">
        <v>18</v>
      </c>
      <c r="G144" t="s">
        <v>49</v>
      </c>
      <c r="H144">
        <v>708.93</v>
      </c>
      <c r="I144">
        <v>0</v>
      </c>
      <c r="J144" t="s">
        <v>28</v>
      </c>
      <c r="K144" t="s">
        <v>29</v>
      </c>
      <c r="L144">
        <v>34</v>
      </c>
      <c r="M144">
        <v>1</v>
      </c>
      <c r="N144" t="s">
        <v>30</v>
      </c>
    </row>
    <row r="145" spans="1:14" x14ac:dyDescent="0.35">
      <c r="A145" t="s">
        <v>322</v>
      </c>
      <c r="B145" t="s">
        <v>323</v>
      </c>
      <c r="C145">
        <v>2024</v>
      </c>
      <c r="D145" t="s">
        <v>33</v>
      </c>
      <c r="E145" t="s">
        <v>53</v>
      </c>
      <c r="F145" t="s">
        <v>39</v>
      </c>
      <c r="G145" t="s">
        <v>40</v>
      </c>
      <c r="H145">
        <v>1964.13</v>
      </c>
      <c r="I145">
        <v>0</v>
      </c>
      <c r="J145" t="s">
        <v>28</v>
      </c>
      <c r="K145" t="s">
        <v>45</v>
      </c>
      <c r="L145">
        <v>66</v>
      </c>
      <c r="M145">
        <v>6</v>
      </c>
      <c r="N145" t="s">
        <v>30</v>
      </c>
    </row>
    <row r="146" spans="1:14" x14ac:dyDescent="0.35">
      <c r="A146" t="s">
        <v>324</v>
      </c>
      <c r="B146" t="s">
        <v>325</v>
      </c>
      <c r="C146">
        <v>2023</v>
      </c>
      <c r="D146" t="s">
        <v>56</v>
      </c>
      <c r="E146" t="s">
        <v>38</v>
      </c>
      <c r="F146" t="s">
        <v>18</v>
      </c>
      <c r="G146" t="s">
        <v>40</v>
      </c>
      <c r="H146">
        <v>838.71</v>
      </c>
      <c r="I146">
        <v>0</v>
      </c>
      <c r="J146" t="s">
        <v>28</v>
      </c>
      <c r="K146" t="s">
        <v>29</v>
      </c>
      <c r="L146">
        <v>63</v>
      </c>
      <c r="M146">
        <v>4</v>
      </c>
      <c r="N146" t="s">
        <v>30</v>
      </c>
    </row>
    <row r="147" spans="1:14" x14ac:dyDescent="0.35">
      <c r="A147" t="s">
        <v>326</v>
      </c>
      <c r="B147" t="s">
        <v>327</v>
      </c>
      <c r="C147">
        <v>2023</v>
      </c>
      <c r="D147" t="s">
        <v>60</v>
      </c>
      <c r="E147" t="s">
        <v>63</v>
      </c>
      <c r="F147" t="s">
        <v>39</v>
      </c>
      <c r="G147" t="s">
        <v>49</v>
      </c>
      <c r="H147">
        <v>1166.68</v>
      </c>
      <c r="I147">
        <v>0</v>
      </c>
      <c r="J147" t="s">
        <v>28</v>
      </c>
      <c r="K147" t="s">
        <v>64</v>
      </c>
      <c r="L147">
        <v>24</v>
      </c>
      <c r="M147">
        <v>11</v>
      </c>
      <c r="N147" t="s">
        <v>30</v>
      </c>
    </row>
    <row r="148" spans="1:14" x14ac:dyDescent="0.35">
      <c r="A148" t="s">
        <v>328</v>
      </c>
      <c r="B148" t="s">
        <v>147</v>
      </c>
      <c r="C148">
        <v>2024</v>
      </c>
      <c r="D148" t="s">
        <v>16</v>
      </c>
      <c r="E148" t="s">
        <v>26</v>
      </c>
      <c r="F148" t="s">
        <v>18</v>
      </c>
      <c r="G148" t="s">
        <v>19</v>
      </c>
      <c r="H148">
        <v>3320.69</v>
      </c>
      <c r="I148">
        <v>0</v>
      </c>
      <c r="J148" t="s">
        <v>28</v>
      </c>
      <c r="K148" t="s">
        <v>64</v>
      </c>
      <c r="L148">
        <v>36</v>
      </c>
      <c r="M148">
        <v>6</v>
      </c>
      <c r="N148" t="s">
        <v>30</v>
      </c>
    </row>
    <row r="149" spans="1:14" x14ac:dyDescent="0.35">
      <c r="A149" t="s">
        <v>329</v>
      </c>
      <c r="B149" t="s">
        <v>145</v>
      </c>
      <c r="C149">
        <v>2024</v>
      </c>
      <c r="D149" t="s">
        <v>52</v>
      </c>
      <c r="E149" t="s">
        <v>38</v>
      </c>
      <c r="F149" t="s">
        <v>27</v>
      </c>
      <c r="G149" t="s">
        <v>49</v>
      </c>
      <c r="H149">
        <v>666.73</v>
      </c>
      <c r="I149">
        <v>0</v>
      </c>
      <c r="J149" t="s">
        <v>28</v>
      </c>
      <c r="K149" t="s">
        <v>77</v>
      </c>
      <c r="L149">
        <v>45</v>
      </c>
      <c r="M149">
        <v>8</v>
      </c>
      <c r="N149" t="s">
        <v>30</v>
      </c>
    </row>
    <row r="150" spans="1:14" x14ac:dyDescent="0.35">
      <c r="A150" t="s">
        <v>330</v>
      </c>
      <c r="B150" t="s">
        <v>331</v>
      </c>
      <c r="C150">
        <v>2023</v>
      </c>
      <c r="D150" t="s">
        <v>74</v>
      </c>
      <c r="E150" t="s">
        <v>63</v>
      </c>
      <c r="F150" t="s">
        <v>27</v>
      </c>
      <c r="G150" t="s">
        <v>19</v>
      </c>
      <c r="H150">
        <v>2040.14</v>
      </c>
      <c r="I150">
        <v>0</v>
      </c>
      <c r="J150" t="s">
        <v>28</v>
      </c>
      <c r="K150" t="s">
        <v>29</v>
      </c>
      <c r="L150">
        <v>56</v>
      </c>
      <c r="M150">
        <v>3</v>
      </c>
      <c r="N150" t="s">
        <v>30</v>
      </c>
    </row>
    <row r="151" spans="1:14" x14ac:dyDescent="0.35">
      <c r="A151" t="s">
        <v>332</v>
      </c>
      <c r="B151" t="s">
        <v>333</v>
      </c>
      <c r="C151">
        <v>2024</v>
      </c>
      <c r="D151" t="s">
        <v>67</v>
      </c>
      <c r="E151" t="s">
        <v>26</v>
      </c>
      <c r="F151" t="s">
        <v>44</v>
      </c>
      <c r="G151" t="s">
        <v>19</v>
      </c>
      <c r="H151">
        <v>3349.49</v>
      </c>
      <c r="I151">
        <v>0</v>
      </c>
      <c r="J151" t="s">
        <v>28</v>
      </c>
      <c r="K151" t="s">
        <v>82</v>
      </c>
      <c r="L151">
        <v>49</v>
      </c>
      <c r="M151">
        <v>9</v>
      </c>
      <c r="N151" t="s">
        <v>30</v>
      </c>
    </row>
    <row r="152" spans="1:14" x14ac:dyDescent="0.35">
      <c r="A152" t="s">
        <v>334</v>
      </c>
      <c r="B152" t="s">
        <v>335</v>
      </c>
      <c r="C152">
        <v>2023</v>
      </c>
      <c r="D152" t="s">
        <v>37</v>
      </c>
      <c r="E152" t="s">
        <v>63</v>
      </c>
      <c r="F152" t="s">
        <v>68</v>
      </c>
      <c r="G152" t="s">
        <v>40</v>
      </c>
      <c r="H152">
        <v>1428.05</v>
      </c>
      <c r="I152">
        <v>1298.32</v>
      </c>
      <c r="J152" t="s">
        <v>34</v>
      </c>
      <c r="K152" t="s">
        <v>29</v>
      </c>
      <c r="L152">
        <v>70</v>
      </c>
      <c r="M152">
        <v>8</v>
      </c>
      <c r="N152" t="s">
        <v>22</v>
      </c>
    </row>
    <row r="153" spans="1:14" x14ac:dyDescent="0.35">
      <c r="A153" t="s">
        <v>336</v>
      </c>
      <c r="B153" t="s">
        <v>337</v>
      </c>
      <c r="C153">
        <v>2023</v>
      </c>
      <c r="D153" t="s">
        <v>25</v>
      </c>
      <c r="E153" t="s">
        <v>17</v>
      </c>
      <c r="F153" t="s">
        <v>18</v>
      </c>
      <c r="G153" t="s">
        <v>40</v>
      </c>
      <c r="H153">
        <v>2194.48</v>
      </c>
      <c r="I153">
        <v>0</v>
      </c>
      <c r="J153" t="s">
        <v>28</v>
      </c>
      <c r="K153" t="s">
        <v>64</v>
      </c>
      <c r="L153">
        <v>35</v>
      </c>
      <c r="M153">
        <v>1</v>
      </c>
      <c r="N153" t="s">
        <v>30</v>
      </c>
    </row>
    <row r="154" spans="1:14" x14ac:dyDescent="0.35">
      <c r="A154" t="s">
        <v>338</v>
      </c>
      <c r="B154" t="s">
        <v>339</v>
      </c>
      <c r="C154">
        <v>2023</v>
      </c>
      <c r="D154" t="s">
        <v>67</v>
      </c>
      <c r="E154" t="s">
        <v>38</v>
      </c>
      <c r="F154" t="s">
        <v>27</v>
      </c>
      <c r="G154" t="s">
        <v>19</v>
      </c>
      <c r="H154">
        <v>943.17</v>
      </c>
      <c r="I154">
        <v>1001.15</v>
      </c>
      <c r="J154" t="s">
        <v>20</v>
      </c>
      <c r="K154" t="s">
        <v>29</v>
      </c>
      <c r="L154">
        <v>65</v>
      </c>
      <c r="M154">
        <v>6</v>
      </c>
      <c r="N154" t="s">
        <v>22</v>
      </c>
    </row>
    <row r="155" spans="1:14" x14ac:dyDescent="0.35">
      <c r="A155" t="s">
        <v>340</v>
      </c>
      <c r="B155" t="s">
        <v>341</v>
      </c>
      <c r="C155">
        <v>2024</v>
      </c>
      <c r="D155" t="s">
        <v>33</v>
      </c>
      <c r="E155" t="s">
        <v>17</v>
      </c>
      <c r="F155" t="s">
        <v>39</v>
      </c>
      <c r="G155" t="s">
        <v>49</v>
      </c>
      <c r="H155">
        <v>1686.62</v>
      </c>
      <c r="I155">
        <v>0</v>
      </c>
      <c r="J155" t="s">
        <v>28</v>
      </c>
      <c r="K155" t="s">
        <v>64</v>
      </c>
      <c r="L155">
        <v>34</v>
      </c>
      <c r="M155">
        <v>9</v>
      </c>
      <c r="N155" t="s">
        <v>30</v>
      </c>
    </row>
    <row r="156" spans="1:14" x14ac:dyDescent="0.35">
      <c r="A156" t="s">
        <v>342</v>
      </c>
      <c r="B156" t="s">
        <v>343</v>
      </c>
      <c r="C156">
        <v>2023</v>
      </c>
      <c r="D156" t="s">
        <v>56</v>
      </c>
      <c r="E156" t="s">
        <v>53</v>
      </c>
      <c r="F156" t="s">
        <v>18</v>
      </c>
      <c r="G156" t="s">
        <v>19</v>
      </c>
      <c r="H156">
        <v>2439.48</v>
      </c>
      <c r="I156">
        <v>2812.69</v>
      </c>
      <c r="J156" t="s">
        <v>34</v>
      </c>
      <c r="K156" t="s">
        <v>29</v>
      </c>
      <c r="L156">
        <v>42</v>
      </c>
      <c r="M156">
        <v>5</v>
      </c>
      <c r="N156" t="s">
        <v>22</v>
      </c>
    </row>
    <row r="157" spans="1:14" x14ac:dyDescent="0.35">
      <c r="A157" t="s">
        <v>344</v>
      </c>
      <c r="B157" t="s">
        <v>345</v>
      </c>
      <c r="C157">
        <v>2023</v>
      </c>
      <c r="D157" t="s">
        <v>60</v>
      </c>
      <c r="E157" t="s">
        <v>53</v>
      </c>
      <c r="F157" t="s">
        <v>18</v>
      </c>
      <c r="G157" t="s">
        <v>19</v>
      </c>
      <c r="H157">
        <v>2403.61</v>
      </c>
      <c r="I157">
        <v>2494.61</v>
      </c>
      <c r="J157" t="s">
        <v>34</v>
      </c>
      <c r="K157" t="s">
        <v>71</v>
      </c>
      <c r="L157">
        <v>38</v>
      </c>
      <c r="M157">
        <v>9</v>
      </c>
      <c r="N157" t="s">
        <v>22</v>
      </c>
    </row>
    <row r="158" spans="1:14" x14ac:dyDescent="0.35">
      <c r="A158" t="s">
        <v>346</v>
      </c>
      <c r="B158" t="s">
        <v>347</v>
      </c>
      <c r="C158">
        <v>2023</v>
      </c>
      <c r="D158" t="s">
        <v>52</v>
      </c>
      <c r="E158" t="s">
        <v>38</v>
      </c>
      <c r="F158" t="s">
        <v>27</v>
      </c>
      <c r="G158" t="s">
        <v>19</v>
      </c>
      <c r="H158">
        <v>1005.81</v>
      </c>
      <c r="I158">
        <v>1173.0999999999999</v>
      </c>
      <c r="J158" t="s">
        <v>34</v>
      </c>
      <c r="K158" t="s">
        <v>64</v>
      </c>
      <c r="L158">
        <v>48</v>
      </c>
      <c r="M158">
        <v>8</v>
      </c>
      <c r="N158" t="s">
        <v>22</v>
      </c>
    </row>
    <row r="159" spans="1:14" x14ac:dyDescent="0.35">
      <c r="A159" t="s">
        <v>348</v>
      </c>
      <c r="B159" t="s">
        <v>349</v>
      </c>
      <c r="C159">
        <v>2023</v>
      </c>
      <c r="D159" t="s">
        <v>85</v>
      </c>
      <c r="E159" t="s">
        <v>53</v>
      </c>
      <c r="F159" t="s">
        <v>27</v>
      </c>
      <c r="G159" t="s">
        <v>49</v>
      </c>
      <c r="H159">
        <v>1521.63</v>
      </c>
      <c r="I159">
        <v>1250.6199999999999</v>
      </c>
      <c r="J159" t="s">
        <v>34</v>
      </c>
      <c r="K159" t="s">
        <v>57</v>
      </c>
      <c r="L159">
        <v>37</v>
      </c>
      <c r="M159">
        <v>2</v>
      </c>
      <c r="N159" t="s">
        <v>22</v>
      </c>
    </row>
    <row r="160" spans="1:14" x14ac:dyDescent="0.35">
      <c r="A160" t="s">
        <v>350</v>
      </c>
      <c r="B160" t="s">
        <v>351</v>
      </c>
      <c r="C160">
        <v>2023</v>
      </c>
      <c r="D160" t="s">
        <v>25</v>
      </c>
      <c r="E160" t="s">
        <v>38</v>
      </c>
      <c r="F160" t="s">
        <v>18</v>
      </c>
      <c r="G160" t="s">
        <v>40</v>
      </c>
      <c r="H160">
        <v>747.09</v>
      </c>
      <c r="I160">
        <v>0</v>
      </c>
      <c r="J160" t="s">
        <v>28</v>
      </c>
      <c r="K160" t="s">
        <v>77</v>
      </c>
      <c r="L160">
        <v>55</v>
      </c>
      <c r="M160">
        <v>7</v>
      </c>
      <c r="N160" t="s">
        <v>30</v>
      </c>
    </row>
    <row r="161" spans="1:14" x14ac:dyDescent="0.35">
      <c r="A161" t="s">
        <v>352</v>
      </c>
      <c r="B161" t="s">
        <v>62</v>
      </c>
      <c r="C161">
        <v>2023</v>
      </c>
      <c r="D161" t="s">
        <v>25</v>
      </c>
      <c r="E161" t="s">
        <v>53</v>
      </c>
      <c r="F161" t="s">
        <v>44</v>
      </c>
      <c r="G161" t="s">
        <v>40</v>
      </c>
      <c r="H161">
        <v>1620.04</v>
      </c>
      <c r="I161">
        <v>1514.85</v>
      </c>
      <c r="J161" t="s">
        <v>34</v>
      </c>
      <c r="K161" t="s">
        <v>45</v>
      </c>
      <c r="L161">
        <v>63</v>
      </c>
      <c r="M161">
        <v>7</v>
      </c>
      <c r="N161" t="s">
        <v>22</v>
      </c>
    </row>
    <row r="162" spans="1:14" x14ac:dyDescent="0.35">
      <c r="A162" t="s">
        <v>353</v>
      </c>
      <c r="B162" t="s">
        <v>156</v>
      </c>
      <c r="C162">
        <v>2023</v>
      </c>
      <c r="D162" t="s">
        <v>25</v>
      </c>
      <c r="E162" t="s">
        <v>38</v>
      </c>
      <c r="F162" t="s">
        <v>18</v>
      </c>
      <c r="G162" t="s">
        <v>40</v>
      </c>
      <c r="H162">
        <v>788.66</v>
      </c>
      <c r="I162">
        <v>679.84</v>
      </c>
      <c r="J162" t="s">
        <v>88</v>
      </c>
      <c r="K162" t="s">
        <v>64</v>
      </c>
      <c r="L162">
        <v>23</v>
      </c>
      <c r="M162">
        <v>2</v>
      </c>
      <c r="N162" t="s">
        <v>22</v>
      </c>
    </row>
    <row r="163" spans="1:14" x14ac:dyDescent="0.35">
      <c r="A163" t="s">
        <v>354</v>
      </c>
      <c r="B163" t="s">
        <v>355</v>
      </c>
      <c r="C163">
        <v>2023</v>
      </c>
      <c r="D163" t="s">
        <v>16</v>
      </c>
      <c r="E163" t="s">
        <v>17</v>
      </c>
      <c r="F163" t="s">
        <v>18</v>
      </c>
      <c r="G163" t="s">
        <v>49</v>
      </c>
      <c r="H163">
        <v>1725.16</v>
      </c>
      <c r="I163">
        <v>1446.33</v>
      </c>
      <c r="J163" t="s">
        <v>34</v>
      </c>
      <c r="K163" t="s">
        <v>82</v>
      </c>
      <c r="L163">
        <v>38</v>
      </c>
      <c r="M163">
        <v>10</v>
      </c>
      <c r="N163" t="s">
        <v>22</v>
      </c>
    </row>
    <row r="164" spans="1:14" x14ac:dyDescent="0.35">
      <c r="A164" t="s">
        <v>356</v>
      </c>
      <c r="B164" t="s">
        <v>351</v>
      </c>
      <c r="C164">
        <v>2023</v>
      </c>
      <c r="D164" t="s">
        <v>25</v>
      </c>
      <c r="E164" t="s">
        <v>38</v>
      </c>
      <c r="F164" t="s">
        <v>68</v>
      </c>
      <c r="G164" t="s">
        <v>19</v>
      </c>
      <c r="H164">
        <v>948.63</v>
      </c>
      <c r="I164">
        <v>0</v>
      </c>
      <c r="J164" t="s">
        <v>28</v>
      </c>
      <c r="K164" t="s">
        <v>45</v>
      </c>
      <c r="L164">
        <v>29</v>
      </c>
      <c r="M164">
        <v>6</v>
      </c>
      <c r="N164" t="s">
        <v>30</v>
      </c>
    </row>
    <row r="165" spans="1:14" x14ac:dyDescent="0.35">
      <c r="A165" t="s">
        <v>357</v>
      </c>
      <c r="B165" t="s">
        <v>358</v>
      </c>
      <c r="C165">
        <v>2024</v>
      </c>
      <c r="D165" t="s">
        <v>37</v>
      </c>
      <c r="E165" t="s">
        <v>38</v>
      </c>
      <c r="F165" t="s">
        <v>39</v>
      </c>
      <c r="G165" t="s">
        <v>40</v>
      </c>
      <c r="H165">
        <v>813.99</v>
      </c>
      <c r="I165">
        <v>0</v>
      </c>
      <c r="J165" t="s">
        <v>28</v>
      </c>
      <c r="K165" t="s">
        <v>57</v>
      </c>
      <c r="L165">
        <v>50</v>
      </c>
      <c r="M165">
        <v>2</v>
      </c>
      <c r="N165" t="s">
        <v>30</v>
      </c>
    </row>
    <row r="166" spans="1:14" x14ac:dyDescent="0.35">
      <c r="A166" t="s">
        <v>359</v>
      </c>
      <c r="B166" t="s">
        <v>360</v>
      </c>
      <c r="C166">
        <v>2023</v>
      </c>
      <c r="D166" t="s">
        <v>60</v>
      </c>
      <c r="E166" t="s">
        <v>53</v>
      </c>
      <c r="F166" t="s">
        <v>27</v>
      </c>
      <c r="G166" t="s">
        <v>40</v>
      </c>
      <c r="H166">
        <v>1888.36</v>
      </c>
      <c r="I166">
        <v>0</v>
      </c>
      <c r="J166" t="s">
        <v>28</v>
      </c>
      <c r="K166" t="s">
        <v>21</v>
      </c>
      <c r="L166">
        <v>71</v>
      </c>
      <c r="M166">
        <v>8</v>
      </c>
      <c r="N166" t="s">
        <v>30</v>
      </c>
    </row>
    <row r="167" spans="1:14" x14ac:dyDescent="0.35">
      <c r="A167" t="s">
        <v>361</v>
      </c>
      <c r="B167" t="s">
        <v>362</v>
      </c>
      <c r="C167">
        <v>2024</v>
      </c>
      <c r="D167" t="s">
        <v>16</v>
      </c>
      <c r="E167" t="s">
        <v>26</v>
      </c>
      <c r="F167" t="s">
        <v>68</v>
      </c>
      <c r="G167" t="s">
        <v>40</v>
      </c>
      <c r="H167">
        <v>2241.0100000000002</v>
      </c>
      <c r="I167">
        <v>2255.12</v>
      </c>
      <c r="J167" t="s">
        <v>20</v>
      </c>
      <c r="K167" t="s">
        <v>45</v>
      </c>
      <c r="L167">
        <v>56</v>
      </c>
      <c r="M167">
        <v>12</v>
      </c>
      <c r="N167" t="s">
        <v>22</v>
      </c>
    </row>
    <row r="168" spans="1:14" x14ac:dyDescent="0.35">
      <c r="A168" t="s">
        <v>363</v>
      </c>
      <c r="B168" t="s">
        <v>345</v>
      </c>
      <c r="C168">
        <v>2023</v>
      </c>
      <c r="D168" t="s">
        <v>60</v>
      </c>
      <c r="E168" t="s">
        <v>38</v>
      </c>
      <c r="F168" t="s">
        <v>44</v>
      </c>
      <c r="G168" t="s">
        <v>40</v>
      </c>
      <c r="H168">
        <v>868.28</v>
      </c>
      <c r="I168">
        <v>768.15</v>
      </c>
      <c r="J168" t="s">
        <v>34</v>
      </c>
      <c r="K168" t="s">
        <v>45</v>
      </c>
      <c r="L168">
        <v>65</v>
      </c>
      <c r="M168">
        <v>11</v>
      </c>
      <c r="N168" t="s">
        <v>22</v>
      </c>
    </row>
    <row r="169" spans="1:14" x14ac:dyDescent="0.35">
      <c r="A169" t="s">
        <v>364</v>
      </c>
      <c r="B169" t="s">
        <v>365</v>
      </c>
      <c r="C169">
        <v>2024</v>
      </c>
      <c r="D169" t="s">
        <v>67</v>
      </c>
      <c r="E169" t="s">
        <v>63</v>
      </c>
      <c r="F169" t="s">
        <v>18</v>
      </c>
      <c r="G169" t="s">
        <v>19</v>
      </c>
      <c r="H169">
        <v>2113.98</v>
      </c>
      <c r="I169">
        <v>0</v>
      </c>
      <c r="J169" t="s">
        <v>28</v>
      </c>
      <c r="K169" t="s">
        <v>29</v>
      </c>
      <c r="L169">
        <v>67</v>
      </c>
      <c r="M169">
        <v>9</v>
      </c>
      <c r="N169" t="s">
        <v>30</v>
      </c>
    </row>
    <row r="170" spans="1:14" x14ac:dyDescent="0.35">
      <c r="A170" t="s">
        <v>366</v>
      </c>
      <c r="B170" t="s">
        <v>367</v>
      </c>
      <c r="C170">
        <v>2023</v>
      </c>
      <c r="D170" t="s">
        <v>67</v>
      </c>
      <c r="E170" t="s">
        <v>26</v>
      </c>
      <c r="F170" t="s">
        <v>44</v>
      </c>
      <c r="G170" t="s">
        <v>49</v>
      </c>
      <c r="H170">
        <v>1959.59</v>
      </c>
      <c r="I170">
        <v>1526.07</v>
      </c>
      <c r="J170" t="s">
        <v>34</v>
      </c>
      <c r="K170" t="s">
        <v>82</v>
      </c>
      <c r="L170">
        <v>45</v>
      </c>
      <c r="M170">
        <v>4</v>
      </c>
      <c r="N170" t="s">
        <v>22</v>
      </c>
    </row>
    <row r="171" spans="1:14" x14ac:dyDescent="0.35">
      <c r="A171" t="s">
        <v>368</v>
      </c>
      <c r="B171" t="s">
        <v>345</v>
      </c>
      <c r="C171">
        <v>2023</v>
      </c>
      <c r="D171" t="s">
        <v>60</v>
      </c>
      <c r="E171" t="s">
        <v>26</v>
      </c>
      <c r="F171" t="s">
        <v>68</v>
      </c>
      <c r="G171" t="s">
        <v>40</v>
      </c>
      <c r="H171">
        <v>2408.63</v>
      </c>
      <c r="I171">
        <v>0</v>
      </c>
      <c r="J171" t="s">
        <v>28</v>
      </c>
      <c r="K171" t="s">
        <v>82</v>
      </c>
      <c r="L171">
        <v>36</v>
      </c>
      <c r="M171">
        <v>6</v>
      </c>
      <c r="N171" t="s">
        <v>30</v>
      </c>
    </row>
    <row r="172" spans="1:14" x14ac:dyDescent="0.35">
      <c r="A172" t="s">
        <v>369</v>
      </c>
      <c r="B172" t="s">
        <v>370</v>
      </c>
      <c r="C172">
        <v>2024</v>
      </c>
      <c r="D172" t="s">
        <v>16</v>
      </c>
      <c r="E172" t="s">
        <v>53</v>
      </c>
      <c r="F172" t="s">
        <v>39</v>
      </c>
      <c r="G172" t="s">
        <v>40</v>
      </c>
      <c r="H172">
        <v>1888.26</v>
      </c>
      <c r="I172">
        <v>0</v>
      </c>
      <c r="J172" t="s">
        <v>28</v>
      </c>
      <c r="K172" t="s">
        <v>29</v>
      </c>
      <c r="L172">
        <v>59</v>
      </c>
      <c r="M172">
        <v>7</v>
      </c>
      <c r="N172" t="s">
        <v>30</v>
      </c>
    </row>
    <row r="173" spans="1:14" x14ac:dyDescent="0.35">
      <c r="A173" t="s">
        <v>371</v>
      </c>
      <c r="B173" t="s">
        <v>372</v>
      </c>
      <c r="C173">
        <v>2024</v>
      </c>
      <c r="D173" t="s">
        <v>74</v>
      </c>
      <c r="E173" t="s">
        <v>38</v>
      </c>
      <c r="F173" t="s">
        <v>27</v>
      </c>
      <c r="G173" t="s">
        <v>19</v>
      </c>
      <c r="H173">
        <v>939.95</v>
      </c>
      <c r="I173">
        <v>0</v>
      </c>
      <c r="J173" t="s">
        <v>28</v>
      </c>
      <c r="K173" t="s">
        <v>82</v>
      </c>
      <c r="L173">
        <v>71</v>
      </c>
      <c r="M173">
        <v>5</v>
      </c>
      <c r="N173" t="s">
        <v>30</v>
      </c>
    </row>
    <row r="174" spans="1:14" x14ac:dyDescent="0.35">
      <c r="A174" t="s">
        <v>373</v>
      </c>
      <c r="B174" t="s">
        <v>374</v>
      </c>
      <c r="C174">
        <v>2023</v>
      </c>
      <c r="D174" t="s">
        <v>33</v>
      </c>
      <c r="E174" t="s">
        <v>53</v>
      </c>
      <c r="F174" t="s">
        <v>39</v>
      </c>
      <c r="G174" t="s">
        <v>19</v>
      </c>
      <c r="H174">
        <v>2122.0500000000002</v>
      </c>
      <c r="I174">
        <v>2209.61</v>
      </c>
      <c r="J174" t="s">
        <v>34</v>
      </c>
      <c r="K174" t="s">
        <v>21</v>
      </c>
      <c r="L174">
        <v>50</v>
      </c>
      <c r="M174">
        <v>4</v>
      </c>
      <c r="N174" t="s">
        <v>22</v>
      </c>
    </row>
    <row r="175" spans="1:14" x14ac:dyDescent="0.35">
      <c r="A175" t="s">
        <v>375</v>
      </c>
      <c r="B175" t="s">
        <v>376</v>
      </c>
      <c r="C175">
        <v>2023</v>
      </c>
      <c r="D175" t="s">
        <v>16</v>
      </c>
      <c r="E175" t="s">
        <v>26</v>
      </c>
      <c r="F175" t="s">
        <v>27</v>
      </c>
      <c r="G175" t="s">
        <v>49</v>
      </c>
      <c r="H175">
        <v>2034.01</v>
      </c>
      <c r="I175">
        <v>1599.45</v>
      </c>
      <c r="J175" t="s">
        <v>34</v>
      </c>
      <c r="K175" t="s">
        <v>29</v>
      </c>
      <c r="L175">
        <v>30</v>
      </c>
      <c r="M175">
        <v>3</v>
      </c>
      <c r="N175" t="s">
        <v>22</v>
      </c>
    </row>
    <row r="176" spans="1:14" x14ac:dyDescent="0.35">
      <c r="A176" t="s">
        <v>377</v>
      </c>
      <c r="B176" t="s">
        <v>378</v>
      </c>
      <c r="C176">
        <v>2023</v>
      </c>
      <c r="D176" t="s">
        <v>67</v>
      </c>
      <c r="E176" t="s">
        <v>63</v>
      </c>
      <c r="F176" t="s">
        <v>27</v>
      </c>
      <c r="G176" t="s">
        <v>19</v>
      </c>
      <c r="H176">
        <v>1792.78</v>
      </c>
      <c r="I176">
        <v>1800.54</v>
      </c>
      <c r="J176" t="s">
        <v>20</v>
      </c>
      <c r="K176" t="s">
        <v>77</v>
      </c>
      <c r="L176">
        <v>71</v>
      </c>
      <c r="M176">
        <v>4</v>
      </c>
      <c r="N176" t="s">
        <v>22</v>
      </c>
    </row>
    <row r="177" spans="1:14" x14ac:dyDescent="0.35">
      <c r="A177" t="s">
        <v>379</v>
      </c>
      <c r="B177" t="s">
        <v>147</v>
      </c>
      <c r="C177">
        <v>2024</v>
      </c>
      <c r="D177" t="s">
        <v>16</v>
      </c>
      <c r="E177" t="s">
        <v>26</v>
      </c>
      <c r="F177" t="s">
        <v>39</v>
      </c>
      <c r="G177" t="s">
        <v>40</v>
      </c>
      <c r="H177">
        <v>2414.86</v>
      </c>
      <c r="I177">
        <v>2414.04</v>
      </c>
      <c r="J177" t="s">
        <v>88</v>
      </c>
      <c r="K177" t="s">
        <v>29</v>
      </c>
      <c r="L177">
        <v>25</v>
      </c>
      <c r="M177">
        <v>7</v>
      </c>
      <c r="N177" t="s">
        <v>22</v>
      </c>
    </row>
    <row r="178" spans="1:14" x14ac:dyDescent="0.35">
      <c r="A178" t="s">
        <v>380</v>
      </c>
      <c r="B178" t="s">
        <v>243</v>
      </c>
      <c r="C178">
        <v>2023</v>
      </c>
      <c r="D178" t="s">
        <v>56</v>
      </c>
      <c r="E178" t="s">
        <v>38</v>
      </c>
      <c r="F178" t="s">
        <v>68</v>
      </c>
      <c r="G178" t="s">
        <v>40</v>
      </c>
      <c r="H178">
        <v>737.94</v>
      </c>
      <c r="I178">
        <v>0</v>
      </c>
      <c r="J178" t="s">
        <v>28</v>
      </c>
      <c r="K178" t="s">
        <v>57</v>
      </c>
      <c r="L178">
        <v>42</v>
      </c>
      <c r="M178">
        <v>6</v>
      </c>
      <c r="N178" t="s">
        <v>30</v>
      </c>
    </row>
    <row r="179" spans="1:14" x14ac:dyDescent="0.35">
      <c r="A179" t="s">
        <v>381</v>
      </c>
      <c r="B179" t="s">
        <v>378</v>
      </c>
      <c r="C179">
        <v>2023</v>
      </c>
      <c r="D179" t="s">
        <v>67</v>
      </c>
      <c r="E179" t="s">
        <v>17</v>
      </c>
      <c r="F179" t="s">
        <v>27</v>
      </c>
      <c r="G179" t="s">
        <v>40</v>
      </c>
      <c r="H179">
        <v>2091.7800000000002</v>
      </c>
      <c r="I179">
        <v>1953.39</v>
      </c>
      <c r="J179" t="s">
        <v>20</v>
      </c>
      <c r="K179" t="s">
        <v>29</v>
      </c>
      <c r="L179">
        <v>25</v>
      </c>
      <c r="M179">
        <v>3</v>
      </c>
      <c r="N179" t="s">
        <v>22</v>
      </c>
    </row>
    <row r="180" spans="1:14" x14ac:dyDescent="0.35">
      <c r="A180" t="s">
        <v>382</v>
      </c>
      <c r="B180" t="s">
        <v>383</v>
      </c>
      <c r="C180">
        <v>2023</v>
      </c>
      <c r="D180" t="s">
        <v>52</v>
      </c>
      <c r="E180" t="s">
        <v>53</v>
      </c>
      <c r="F180" t="s">
        <v>44</v>
      </c>
      <c r="G180" t="s">
        <v>49</v>
      </c>
      <c r="H180">
        <v>1591.76</v>
      </c>
      <c r="I180">
        <v>0</v>
      </c>
      <c r="J180" t="s">
        <v>28</v>
      </c>
      <c r="K180" t="s">
        <v>71</v>
      </c>
      <c r="L180">
        <v>69</v>
      </c>
      <c r="M180">
        <v>11</v>
      </c>
      <c r="N180" t="s">
        <v>30</v>
      </c>
    </row>
    <row r="181" spans="1:14" x14ac:dyDescent="0.35">
      <c r="A181" t="s">
        <v>384</v>
      </c>
      <c r="B181" t="s">
        <v>256</v>
      </c>
      <c r="C181">
        <v>2023</v>
      </c>
      <c r="D181" t="s">
        <v>85</v>
      </c>
      <c r="E181" t="s">
        <v>53</v>
      </c>
      <c r="F181" t="s">
        <v>68</v>
      </c>
      <c r="G181" t="s">
        <v>49</v>
      </c>
      <c r="H181">
        <v>1535.37</v>
      </c>
      <c r="I181">
        <v>1087.48</v>
      </c>
      <c r="J181" t="s">
        <v>34</v>
      </c>
      <c r="K181" t="s">
        <v>21</v>
      </c>
      <c r="L181">
        <v>48</v>
      </c>
      <c r="M181">
        <v>11</v>
      </c>
      <c r="N181" t="s">
        <v>22</v>
      </c>
    </row>
    <row r="182" spans="1:14" x14ac:dyDescent="0.35">
      <c r="A182" t="s">
        <v>385</v>
      </c>
      <c r="B182" t="s">
        <v>386</v>
      </c>
      <c r="C182">
        <v>2024</v>
      </c>
      <c r="D182" t="s">
        <v>60</v>
      </c>
      <c r="E182" t="s">
        <v>38</v>
      </c>
      <c r="F182" t="s">
        <v>18</v>
      </c>
      <c r="G182" t="s">
        <v>40</v>
      </c>
      <c r="H182">
        <v>842.4</v>
      </c>
      <c r="I182">
        <v>845.25</v>
      </c>
      <c r="J182" t="s">
        <v>88</v>
      </c>
      <c r="K182" t="s">
        <v>77</v>
      </c>
      <c r="L182">
        <v>57</v>
      </c>
      <c r="M182">
        <v>12</v>
      </c>
      <c r="N182" t="s">
        <v>22</v>
      </c>
    </row>
    <row r="183" spans="1:14" x14ac:dyDescent="0.35">
      <c r="A183" t="s">
        <v>387</v>
      </c>
      <c r="B183" t="s">
        <v>388</v>
      </c>
      <c r="C183">
        <v>2024</v>
      </c>
      <c r="D183" t="s">
        <v>33</v>
      </c>
      <c r="E183" t="s">
        <v>63</v>
      </c>
      <c r="F183" t="s">
        <v>39</v>
      </c>
      <c r="G183" t="s">
        <v>19</v>
      </c>
      <c r="H183">
        <v>2077.8200000000002</v>
      </c>
      <c r="I183">
        <v>2371.42</v>
      </c>
      <c r="J183" t="s">
        <v>20</v>
      </c>
      <c r="K183" t="s">
        <v>82</v>
      </c>
      <c r="L183">
        <v>50</v>
      </c>
      <c r="M183">
        <v>4</v>
      </c>
      <c r="N183" t="s">
        <v>22</v>
      </c>
    </row>
    <row r="184" spans="1:14" x14ac:dyDescent="0.35">
      <c r="A184" t="s">
        <v>389</v>
      </c>
      <c r="B184" t="s">
        <v>229</v>
      </c>
      <c r="C184">
        <v>2023</v>
      </c>
      <c r="D184" t="s">
        <v>74</v>
      </c>
      <c r="E184" t="s">
        <v>17</v>
      </c>
      <c r="F184" t="s">
        <v>68</v>
      </c>
      <c r="G184" t="s">
        <v>49</v>
      </c>
      <c r="H184">
        <v>1802.89</v>
      </c>
      <c r="I184">
        <v>0</v>
      </c>
      <c r="J184" t="s">
        <v>28</v>
      </c>
      <c r="K184" t="s">
        <v>21</v>
      </c>
      <c r="L184">
        <v>60</v>
      </c>
      <c r="M184">
        <v>7</v>
      </c>
      <c r="N184" t="s">
        <v>30</v>
      </c>
    </row>
    <row r="185" spans="1:14" x14ac:dyDescent="0.35">
      <c r="A185" t="s">
        <v>390</v>
      </c>
      <c r="B185" t="s">
        <v>391</v>
      </c>
      <c r="C185">
        <v>2024</v>
      </c>
      <c r="D185" t="s">
        <v>16</v>
      </c>
      <c r="E185" t="s">
        <v>26</v>
      </c>
      <c r="F185" t="s">
        <v>18</v>
      </c>
      <c r="G185" t="s">
        <v>40</v>
      </c>
      <c r="H185">
        <v>2190.61</v>
      </c>
      <c r="I185">
        <v>0</v>
      </c>
      <c r="J185" t="s">
        <v>28</v>
      </c>
      <c r="K185" t="s">
        <v>57</v>
      </c>
      <c r="L185">
        <v>49</v>
      </c>
      <c r="M185">
        <v>3</v>
      </c>
      <c r="N185" t="s">
        <v>30</v>
      </c>
    </row>
    <row r="186" spans="1:14" x14ac:dyDescent="0.35">
      <c r="A186" t="s">
        <v>392</v>
      </c>
      <c r="B186" t="s">
        <v>393</v>
      </c>
      <c r="C186">
        <v>2024</v>
      </c>
      <c r="D186" t="s">
        <v>56</v>
      </c>
      <c r="E186" t="s">
        <v>63</v>
      </c>
      <c r="F186" t="s">
        <v>68</v>
      </c>
      <c r="G186" t="s">
        <v>40</v>
      </c>
      <c r="H186">
        <v>1566.4</v>
      </c>
      <c r="I186">
        <v>1565.37</v>
      </c>
      <c r="J186" t="s">
        <v>88</v>
      </c>
      <c r="K186" t="s">
        <v>21</v>
      </c>
      <c r="L186">
        <v>36</v>
      </c>
      <c r="M186">
        <v>7</v>
      </c>
      <c r="N186" t="s">
        <v>22</v>
      </c>
    </row>
    <row r="187" spans="1:14" x14ac:dyDescent="0.35">
      <c r="A187" t="s">
        <v>394</v>
      </c>
      <c r="B187" t="s">
        <v>395</v>
      </c>
      <c r="C187">
        <v>2023</v>
      </c>
      <c r="D187" t="s">
        <v>60</v>
      </c>
      <c r="E187" t="s">
        <v>63</v>
      </c>
      <c r="F187" t="s">
        <v>39</v>
      </c>
      <c r="G187" t="s">
        <v>40</v>
      </c>
      <c r="H187">
        <v>1369.99</v>
      </c>
      <c r="I187">
        <v>0</v>
      </c>
      <c r="J187" t="s">
        <v>28</v>
      </c>
      <c r="K187" t="s">
        <v>77</v>
      </c>
      <c r="L187">
        <v>30</v>
      </c>
      <c r="M187">
        <v>5</v>
      </c>
      <c r="N187" t="s">
        <v>30</v>
      </c>
    </row>
    <row r="188" spans="1:14" x14ac:dyDescent="0.35">
      <c r="A188" t="s">
        <v>396</v>
      </c>
      <c r="B188" t="s">
        <v>397</v>
      </c>
      <c r="C188">
        <v>2024</v>
      </c>
      <c r="D188" t="s">
        <v>37</v>
      </c>
      <c r="E188" t="s">
        <v>63</v>
      </c>
      <c r="F188" t="s">
        <v>27</v>
      </c>
      <c r="G188" t="s">
        <v>49</v>
      </c>
      <c r="H188">
        <v>1295.69</v>
      </c>
      <c r="I188">
        <v>0</v>
      </c>
      <c r="J188" t="s">
        <v>28</v>
      </c>
      <c r="K188" t="s">
        <v>57</v>
      </c>
      <c r="L188">
        <v>40</v>
      </c>
      <c r="M188">
        <v>4</v>
      </c>
      <c r="N188" t="s">
        <v>30</v>
      </c>
    </row>
    <row r="189" spans="1:14" x14ac:dyDescent="0.35">
      <c r="A189" t="s">
        <v>398</v>
      </c>
      <c r="B189" t="s">
        <v>399</v>
      </c>
      <c r="C189">
        <v>2024</v>
      </c>
      <c r="D189" t="s">
        <v>16</v>
      </c>
      <c r="E189" t="s">
        <v>38</v>
      </c>
      <c r="F189" t="s">
        <v>39</v>
      </c>
      <c r="G189" t="s">
        <v>49</v>
      </c>
      <c r="H189">
        <v>728.22</v>
      </c>
      <c r="I189">
        <v>0</v>
      </c>
      <c r="J189" t="s">
        <v>28</v>
      </c>
      <c r="K189" t="s">
        <v>45</v>
      </c>
      <c r="L189">
        <v>28</v>
      </c>
      <c r="M189">
        <v>4</v>
      </c>
      <c r="N189" t="s">
        <v>30</v>
      </c>
    </row>
    <row r="190" spans="1:14" x14ac:dyDescent="0.35">
      <c r="A190" t="s">
        <v>400</v>
      </c>
      <c r="B190" t="s">
        <v>401</v>
      </c>
      <c r="C190">
        <v>2023</v>
      </c>
      <c r="D190" t="s">
        <v>16</v>
      </c>
      <c r="E190" t="s">
        <v>17</v>
      </c>
      <c r="F190" t="s">
        <v>39</v>
      </c>
      <c r="G190" t="s">
        <v>19</v>
      </c>
      <c r="H190">
        <v>2646.21</v>
      </c>
      <c r="I190">
        <v>0</v>
      </c>
      <c r="J190" t="s">
        <v>28</v>
      </c>
      <c r="K190" t="s">
        <v>21</v>
      </c>
      <c r="L190">
        <v>62</v>
      </c>
      <c r="M190">
        <v>9</v>
      </c>
      <c r="N190" t="s">
        <v>30</v>
      </c>
    </row>
    <row r="191" spans="1:14" x14ac:dyDescent="0.35">
      <c r="A191" t="s">
        <v>402</v>
      </c>
      <c r="B191" t="s">
        <v>403</v>
      </c>
      <c r="C191">
        <v>2023</v>
      </c>
      <c r="D191" t="s">
        <v>60</v>
      </c>
      <c r="E191" t="s">
        <v>53</v>
      </c>
      <c r="F191" t="s">
        <v>39</v>
      </c>
      <c r="G191" t="s">
        <v>40</v>
      </c>
      <c r="H191">
        <v>1917.7</v>
      </c>
      <c r="I191">
        <v>0</v>
      </c>
      <c r="J191" t="s">
        <v>28</v>
      </c>
      <c r="K191" t="s">
        <v>71</v>
      </c>
      <c r="L191">
        <v>66</v>
      </c>
      <c r="M191">
        <v>4</v>
      </c>
      <c r="N191" t="s">
        <v>30</v>
      </c>
    </row>
    <row r="192" spans="1:14" x14ac:dyDescent="0.35">
      <c r="A192" t="s">
        <v>404</v>
      </c>
      <c r="B192" t="s">
        <v>405</v>
      </c>
      <c r="C192">
        <v>2023</v>
      </c>
      <c r="D192" t="s">
        <v>37</v>
      </c>
      <c r="E192" t="s">
        <v>26</v>
      </c>
      <c r="F192" t="s">
        <v>44</v>
      </c>
      <c r="G192" t="s">
        <v>49</v>
      </c>
      <c r="H192">
        <v>2019.84</v>
      </c>
      <c r="I192">
        <v>0</v>
      </c>
      <c r="J192" t="s">
        <v>28</v>
      </c>
      <c r="K192" t="s">
        <v>77</v>
      </c>
      <c r="L192">
        <v>67</v>
      </c>
      <c r="M192">
        <v>1</v>
      </c>
      <c r="N192" t="s">
        <v>30</v>
      </c>
    </row>
    <row r="193" spans="1:14" x14ac:dyDescent="0.35">
      <c r="A193" t="s">
        <v>406</v>
      </c>
      <c r="B193" t="s">
        <v>407</v>
      </c>
      <c r="C193">
        <v>2023</v>
      </c>
      <c r="D193" t="s">
        <v>56</v>
      </c>
      <c r="E193" t="s">
        <v>38</v>
      </c>
      <c r="F193" t="s">
        <v>39</v>
      </c>
      <c r="G193" t="s">
        <v>19</v>
      </c>
      <c r="H193">
        <v>953.27</v>
      </c>
      <c r="I193">
        <v>0</v>
      </c>
      <c r="J193" t="s">
        <v>28</v>
      </c>
      <c r="K193" t="s">
        <v>21</v>
      </c>
      <c r="L193">
        <v>23</v>
      </c>
      <c r="M193">
        <v>11</v>
      </c>
      <c r="N193" t="s">
        <v>30</v>
      </c>
    </row>
    <row r="194" spans="1:14" x14ac:dyDescent="0.35">
      <c r="A194" t="s">
        <v>408</v>
      </c>
      <c r="B194" t="s">
        <v>409</v>
      </c>
      <c r="C194">
        <v>2023</v>
      </c>
      <c r="D194" t="s">
        <v>74</v>
      </c>
      <c r="E194" t="s">
        <v>53</v>
      </c>
      <c r="F194" t="s">
        <v>27</v>
      </c>
      <c r="G194" t="s">
        <v>49</v>
      </c>
      <c r="H194">
        <v>1481.76</v>
      </c>
      <c r="I194">
        <v>1179.45</v>
      </c>
      <c r="J194" t="s">
        <v>34</v>
      </c>
      <c r="K194" t="s">
        <v>64</v>
      </c>
      <c r="L194">
        <v>72</v>
      </c>
      <c r="M194">
        <v>8</v>
      </c>
      <c r="N194" t="s">
        <v>22</v>
      </c>
    </row>
    <row r="195" spans="1:14" x14ac:dyDescent="0.35">
      <c r="A195" t="s">
        <v>410</v>
      </c>
      <c r="B195" t="s">
        <v>411</v>
      </c>
      <c r="C195">
        <v>2023</v>
      </c>
      <c r="D195" t="s">
        <v>33</v>
      </c>
      <c r="E195" t="s">
        <v>26</v>
      </c>
      <c r="F195" t="s">
        <v>68</v>
      </c>
      <c r="G195" t="s">
        <v>49</v>
      </c>
      <c r="H195">
        <v>2058.71</v>
      </c>
      <c r="I195">
        <v>1655.38</v>
      </c>
      <c r="J195" t="s">
        <v>88</v>
      </c>
      <c r="K195" t="s">
        <v>21</v>
      </c>
      <c r="L195">
        <v>51</v>
      </c>
      <c r="M195">
        <v>10</v>
      </c>
      <c r="N195" t="s">
        <v>22</v>
      </c>
    </row>
    <row r="196" spans="1:14" x14ac:dyDescent="0.35">
      <c r="A196" t="s">
        <v>412</v>
      </c>
      <c r="B196" t="s">
        <v>413</v>
      </c>
      <c r="C196">
        <v>2024</v>
      </c>
      <c r="D196" t="s">
        <v>60</v>
      </c>
      <c r="E196" t="s">
        <v>38</v>
      </c>
      <c r="F196" t="s">
        <v>39</v>
      </c>
      <c r="G196" t="s">
        <v>19</v>
      </c>
      <c r="H196">
        <v>1054.1300000000001</v>
      </c>
      <c r="I196">
        <v>1095.58</v>
      </c>
      <c r="J196" t="s">
        <v>34</v>
      </c>
      <c r="K196" t="s">
        <v>64</v>
      </c>
      <c r="L196">
        <v>66</v>
      </c>
      <c r="M196">
        <v>12</v>
      </c>
      <c r="N196" t="s">
        <v>22</v>
      </c>
    </row>
    <row r="197" spans="1:14" x14ac:dyDescent="0.35">
      <c r="A197" t="s">
        <v>414</v>
      </c>
      <c r="B197" t="s">
        <v>415</v>
      </c>
      <c r="C197">
        <v>2023</v>
      </c>
      <c r="D197" t="s">
        <v>56</v>
      </c>
      <c r="E197" t="s">
        <v>53</v>
      </c>
      <c r="F197" t="s">
        <v>39</v>
      </c>
      <c r="G197" t="s">
        <v>19</v>
      </c>
      <c r="H197">
        <v>2148.35</v>
      </c>
      <c r="I197">
        <v>0</v>
      </c>
      <c r="J197" t="s">
        <v>28</v>
      </c>
      <c r="K197" t="s">
        <v>71</v>
      </c>
      <c r="L197">
        <v>32</v>
      </c>
      <c r="M197">
        <v>12</v>
      </c>
      <c r="N197" t="s">
        <v>30</v>
      </c>
    </row>
    <row r="198" spans="1:14" x14ac:dyDescent="0.35">
      <c r="A198" t="s">
        <v>416</v>
      </c>
      <c r="B198" t="s">
        <v>417</v>
      </c>
      <c r="C198">
        <v>2024</v>
      </c>
      <c r="D198" t="s">
        <v>43</v>
      </c>
      <c r="E198" t="s">
        <v>63</v>
      </c>
      <c r="F198" t="s">
        <v>44</v>
      </c>
      <c r="G198" t="s">
        <v>40</v>
      </c>
      <c r="H198">
        <v>1546.5</v>
      </c>
      <c r="I198">
        <v>0</v>
      </c>
      <c r="J198" t="s">
        <v>28</v>
      </c>
      <c r="K198" t="s">
        <v>77</v>
      </c>
      <c r="L198">
        <v>21</v>
      </c>
      <c r="M198">
        <v>3</v>
      </c>
      <c r="N198" t="s">
        <v>30</v>
      </c>
    </row>
    <row r="199" spans="1:14" x14ac:dyDescent="0.35">
      <c r="A199" t="s">
        <v>418</v>
      </c>
      <c r="B199" t="s">
        <v>419</v>
      </c>
      <c r="C199">
        <v>2023</v>
      </c>
      <c r="D199" t="s">
        <v>33</v>
      </c>
      <c r="E199" t="s">
        <v>53</v>
      </c>
      <c r="F199" t="s">
        <v>18</v>
      </c>
      <c r="G199" t="s">
        <v>19</v>
      </c>
      <c r="H199">
        <v>2215.91</v>
      </c>
      <c r="I199">
        <v>0</v>
      </c>
      <c r="J199" t="s">
        <v>28</v>
      </c>
      <c r="K199" t="s">
        <v>71</v>
      </c>
      <c r="L199">
        <v>59</v>
      </c>
      <c r="M199">
        <v>9</v>
      </c>
      <c r="N199" t="s">
        <v>30</v>
      </c>
    </row>
    <row r="200" spans="1:14" x14ac:dyDescent="0.35">
      <c r="A200" t="s">
        <v>420</v>
      </c>
      <c r="B200" t="s">
        <v>421</v>
      </c>
      <c r="C200">
        <v>2023</v>
      </c>
      <c r="D200" t="s">
        <v>60</v>
      </c>
      <c r="E200" t="s">
        <v>26</v>
      </c>
      <c r="F200" t="s">
        <v>27</v>
      </c>
      <c r="G200" t="s">
        <v>40</v>
      </c>
      <c r="H200">
        <v>2402.4</v>
      </c>
      <c r="I200">
        <v>2166.41</v>
      </c>
      <c r="J200" t="s">
        <v>34</v>
      </c>
      <c r="K200" t="s">
        <v>77</v>
      </c>
      <c r="L200">
        <v>64</v>
      </c>
      <c r="M200">
        <v>5</v>
      </c>
      <c r="N200" t="s">
        <v>22</v>
      </c>
    </row>
    <row r="201" spans="1:14" x14ac:dyDescent="0.35">
      <c r="A201" t="s">
        <v>422</v>
      </c>
      <c r="B201" t="s">
        <v>423</v>
      </c>
      <c r="C201">
        <v>2024</v>
      </c>
      <c r="D201" t="s">
        <v>33</v>
      </c>
      <c r="E201" t="s">
        <v>26</v>
      </c>
      <c r="F201" t="s">
        <v>18</v>
      </c>
      <c r="G201" t="s">
        <v>40</v>
      </c>
      <c r="H201">
        <v>2183.21</v>
      </c>
      <c r="I201">
        <v>2048.2399999999998</v>
      </c>
      <c r="J201" t="s">
        <v>34</v>
      </c>
      <c r="K201" t="s">
        <v>82</v>
      </c>
      <c r="L201">
        <v>47</v>
      </c>
      <c r="M201">
        <v>9</v>
      </c>
      <c r="N201" t="s">
        <v>22</v>
      </c>
    </row>
    <row r="202" spans="1:14" x14ac:dyDescent="0.35">
      <c r="A202" t="s">
        <v>424</v>
      </c>
      <c r="B202" t="s">
        <v>425</v>
      </c>
      <c r="C202">
        <v>2023</v>
      </c>
      <c r="D202" t="s">
        <v>33</v>
      </c>
      <c r="E202" t="s">
        <v>17</v>
      </c>
      <c r="F202" t="s">
        <v>44</v>
      </c>
      <c r="G202" t="s">
        <v>40</v>
      </c>
      <c r="H202">
        <v>2156.11</v>
      </c>
      <c r="I202">
        <v>0</v>
      </c>
      <c r="J202" t="s">
        <v>28</v>
      </c>
      <c r="K202" t="s">
        <v>71</v>
      </c>
      <c r="L202">
        <v>37</v>
      </c>
      <c r="M202">
        <v>12</v>
      </c>
      <c r="N202" t="s">
        <v>30</v>
      </c>
    </row>
    <row r="203" spans="1:14" x14ac:dyDescent="0.35">
      <c r="A203" t="s">
        <v>426</v>
      </c>
      <c r="B203" t="s">
        <v>427</v>
      </c>
      <c r="C203">
        <v>2024</v>
      </c>
      <c r="D203" t="s">
        <v>67</v>
      </c>
      <c r="E203" t="s">
        <v>26</v>
      </c>
      <c r="F203" t="s">
        <v>18</v>
      </c>
      <c r="G203" t="s">
        <v>49</v>
      </c>
      <c r="H203">
        <v>2059.48</v>
      </c>
      <c r="I203">
        <v>0</v>
      </c>
      <c r="J203" t="s">
        <v>28</v>
      </c>
      <c r="K203" t="s">
        <v>82</v>
      </c>
      <c r="L203">
        <v>65</v>
      </c>
      <c r="M203">
        <v>3</v>
      </c>
      <c r="N203" t="s">
        <v>30</v>
      </c>
    </row>
    <row r="204" spans="1:14" x14ac:dyDescent="0.35">
      <c r="A204" t="s">
        <v>428</v>
      </c>
      <c r="B204" t="s">
        <v>429</v>
      </c>
      <c r="C204">
        <v>2024</v>
      </c>
      <c r="D204" t="s">
        <v>60</v>
      </c>
      <c r="E204" t="s">
        <v>53</v>
      </c>
      <c r="F204" t="s">
        <v>18</v>
      </c>
      <c r="G204" t="s">
        <v>19</v>
      </c>
      <c r="H204">
        <v>2244.94</v>
      </c>
      <c r="I204">
        <v>0</v>
      </c>
      <c r="J204" t="s">
        <v>28</v>
      </c>
      <c r="K204" t="s">
        <v>57</v>
      </c>
      <c r="L204">
        <v>47</v>
      </c>
      <c r="M204">
        <v>10</v>
      </c>
      <c r="N204" t="s">
        <v>30</v>
      </c>
    </row>
    <row r="205" spans="1:14" x14ac:dyDescent="0.35">
      <c r="A205" t="s">
        <v>430</v>
      </c>
      <c r="B205" t="s">
        <v>431</v>
      </c>
      <c r="C205">
        <v>2024</v>
      </c>
      <c r="D205" t="s">
        <v>16</v>
      </c>
      <c r="E205" t="s">
        <v>38</v>
      </c>
      <c r="F205" t="s">
        <v>27</v>
      </c>
      <c r="G205" t="s">
        <v>19</v>
      </c>
      <c r="H205">
        <v>960.73</v>
      </c>
      <c r="I205">
        <v>0</v>
      </c>
      <c r="J205" t="s">
        <v>28</v>
      </c>
      <c r="K205" t="s">
        <v>57</v>
      </c>
      <c r="L205">
        <v>38</v>
      </c>
      <c r="M205">
        <v>2</v>
      </c>
      <c r="N205" t="s">
        <v>30</v>
      </c>
    </row>
    <row r="206" spans="1:14" x14ac:dyDescent="0.35">
      <c r="A206" t="s">
        <v>432</v>
      </c>
      <c r="B206" t="s">
        <v>423</v>
      </c>
      <c r="C206">
        <v>2024</v>
      </c>
      <c r="D206" t="s">
        <v>33</v>
      </c>
      <c r="E206" t="s">
        <v>38</v>
      </c>
      <c r="F206" t="s">
        <v>18</v>
      </c>
      <c r="G206" t="s">
        <v>40</v>
      </c>
      <c r="H206">
        <v>869.41</v>
      </c>
      <c r="I206">
        <v>911.61</v>
      </c>
      <c r="J206" t="s">
        <v>34</v>
      </c>
      <c r="K206" t="s">
        <v>77</v>
      </c>
      <c r="L206">
        <v>57</v>
      </c>
      <c r="M206">
        <v>6</v>
      </c>
      <c r="N206" t="s">
        <v>22</v>
      </c>
    </row>
    <row r="207" spans="1:14" x14ac:dyDescent="0.35">
      <c r="A207" t="s">
        <v>433</v>
      </c>
      <c r="B207" t="s">
        <v>434</v>
      </c>
      <c r="C207">
        <v>2023</v>
      </c>
      <c r="D207" t="s">
        <v>48</v>
      </c>
      <c r="E207" t="s">
        <v>17</v>
      </c>
      <c r="F207" t="s">
        <v>44</v>
      </c>
      <c r="G207" t="s">
        <v>19</v>
      </c>
      <c r="H207">
        <v>2658.24</v>
      </c>
      <c r="I207">
        <v>2826.71</v>
      </c>
      <c r="J207" t="s">
        <v>34</v>
      </c>
      <c r="K207" t="s">
        <v>21</v>
      </c>
      <c r="L207">
        <v>48</v>
      </c>
      <c r="M207">
        <v>6</v>
      </c>
      <c r="N207" t="s">
        <v>22</v>
      </c>
    </row>
    <row r="208" spans="1:14" x14ac:dyDescent="0.35">
      <c r="A208" t="s">
        <v>435</v>
      </c>
      <c r="B208" t="s">
        <v>436</v>
      </c>
      <c r="C208">
        <v>2023</v>
      </c>
      <c r="D208" t="s">
        <v>33</v>
      </c>
      <c r="E208" t="s">
        <v>53</v>
      </c>
      <c r="F208" t="s">
        <v>68</v>
      </c>
      <c r="G208" t="s">
        <v>40</v>
      </c>
      <c r="H208">
        <v>1626.72</v>
      </c>
      <c r="I208">
        <v>1502.88</v>
      </c>
      <c r="J208" t="s">
        <v>34</v>
      </c>
      <c r="K208" t="s">
        <v>29</v>
      </c>
      <c r="L208">
        <v>32</v>
      </c>
      <c r="M208">
        <v>9</v>
      </c>
      <c r="N208" t="s">
        <v>22</v>
      </c>
    </row>
    <row r="209" spans="1:14" x14ac:dyDescent="0.35">
      <c r="A209" t="s">
        <v>437</v>
      </c>
      <c r="B209" t="s">
        <v>269</v>
      </c>
      <c r="C209">
        <v>2023</v>
      </c>
      <c r="D209" t="s">
        <v>56</v>
      </c>
      <c r="E209" t="s">
        <v>53</v>
      </c>
      <c r="F209" t="s">
        <v>27</v>
      </c>
      <c r="G209" t="s">
        <v>40</v>
      </c>
      <c r="H209">
        <v>1685.54</v>
      </c>
      <c r="I209">
        <v>0</v>
      </c>
      <c r="J209" t="s">
        <v>28</v>
      </c>
      <c r="K209" t="s">
        <v>64</v>
      </c>
      <c r="L209">
        <v>52</v>
      </c>
      <c r="M209">
        <v>2</v>
      </c>
      <c r="N209" t="s">
        <v>30</v>
      </c>
    </row>
    <row r="210" spans="1:14" x14ac:dyDescent="0.35">
      <c r="A210" t="s">
        <v>438</v>
      </c>
      <c r="B210" t="s">
        <v>439</v>
      </c>
      <c r="C210">
        <v>2023</v>
      </c>
      <c r="D210" t="s">
        <v>43</v>
      </c>
      <c r="E210" t="s">
        <v>17</v>
      </c>
      <c r="F210" t="s">
        <v>44</v>
      </c>
      <c r="G210" t="s">
        <v>40</v>
      </c>
      <c r="H210">
        <v>2082.4499999999998</v>
      </c>
      <c r="I210">
        <v>0</v>
      </c>
      <c r="J210" t="s">
        <v>28</v>
      </c>
      <c r="K210" t="s">
        <v>77</v>
      </c>
      <c r="L210">
        <v>71</v>
      </c>
      <c r="M210">
        <v>10</v>
      </c>
      <c r="N210" t="s">
        <v>30</v>
      </c>
    </row>
    <row r="211" spans="1:14" x14ac:dyDescent="0.35">
      <c r="A211" t="s">
        <v>440</v>
      </c>
      <c r="B211" t="s">
        <v>441</v>
      </c>
      <c r="C211">
        <v>2024</v>
      </c>
      <c r="D211" t="s">
        <v>52</v>
      </c>
      <c r="E211" t="s">
        <v>17</v>
      </c>
      <c r="F211" t="s">
        <v>68</v>
      </c>
      <c r="G211" t="s">
        <v>40</v>
      </c>
      <c r="H211">
        <v>1840.7</v>
      </c>
      <c r="I211">
        <v>0</v>
      </c>
      <c r="J211" t="s">
        <v>28</v>
      </c>
      <c r="K211" t="s">
        <v>29</v>
      </c>
      <c r="L211">
        <v>54</v>
      </c>
      <c r="M211">
        <v>10</v>
      </c>
      <c r="N211" t="s">
        <v>30</v>
      </c>
    </row>
    <row r="212" spans="1:14" x14ac:dyDescent="0.35">
      <c r="A212" t="s">
        <v>442</v>
      </c>
      <c r="B212" t="s">
        <v>443</v>
      </c>
      <c r="C212">
        <v>2023</v>
      </c>
      <c r="D212" t="s">
        <v>60</v>
      </c>
      <c r="E212" t="s">
        <v>26</v>
      </c>
      <c r="F212" t="s">
        <v>44</v>
      </c>
      <c r="G212" t="s">
        <v>19</v>
      </c>
      <c r="H212">
        <v>3028.37</v>
      </c>
      <c r="I212">
        <v>0</v>
      </c>
      <c r="J212" t="s">
        <v>28</v>
      </c>
      <c r="K212" t="s">
        <v>29</v>
      </c>
      <c r="L212">
        <v>51</v>
      </c>
      <c r="M212">
        <v>11</v>
      </c>
      <c r="N212" t="s">
        <v>30</v>
      </c>
    </row>
    <row r="213" spans="1:14" x14ac:dyDescent="0.35">
      <c r="A213" t="s">
        <v>444</v>
      </c>
      <c r="B213" t="s">
        <v>445</v>
      </c>
      <c r="C213">
        <v>2024</v>
      </c>
      <c r="D213" t="s">
        <v>85</v>
      </c>
      <c r="E213" t="s">
        <v>26</v>
      </c>
      <c r="F213" t="s">
        <v>68</v>
      </c>
      <c r="G213" t="s">
        <v>49</v>
      </c>
      <c r="H213">
        <v>2026.67</v>
      </c>
      <c r="I213">
        <v>1799.01</v>
      </c>
      <c r="J213" t="s">
        <v>34</v>
      </c>
      <c r="K213" t="s">
        <v>57</v>
      </c>
      <c r="L213">
        <v>61</v>
      </c>
      <c r="M213">
        <v>11</v>
      </c>
      <c r="N213" t="s">
        <v>22</v>
      </c>
    </row>
    <row r="214" spans="1:14" x14ac:dyDescent="0.35">
      <c r="A214" t="s">
        <v>446</v>
      </c>
      <c r="B214" t="s">
        <v>447</v>
      </c>
      <c r="C214">
        <v>2023</v>
      </c>
      <c r="D214" t="s">
        <v>43</v>
      </c>
      <c r="E214" t="s">
        <v>17</v>
      </c>
      <c r="F214" t="s">
        <v>39</v>
      </c>
      <c r="G214" t="s">
        <v>49</v>
      </c>
      <c r="H214">
        <v>1668.3</v>
      </c>
      <c r="I214">
        <v>0</v>
      </c>
      <c r="J214" t="s">
        <v>28</v>
      </c>
      <c r="K214" t="s">
        <v>57</v>
      </c>
      <c r="L214">
        <v>71</v>
      </c>
      <c r="M214">
        <v>5</v>
      </c>
      <c r="N214" t="s">
        <v>30</v>
      </c>
    </row>
    <row r="215" spans="1:14" x14ac:dyDescent="0.35">
      <c r="A215" t="s">
        <v>448</v>
      </c>
      <c r="B215" t="s">
        <v>449</v>
      </c>
      <c r="C215">
        <v>2024</v>
      </c>
      <c r="D215" t="s">
        <v>37</v>
      </c>
      <c r="E215" t="s">
        <v>53</v>
      </c>
      <c r="F215" t="s">
        <v>44</v>
      </c>
      <c r="G215" t="s">
        <v>49</v>
      </c>
      <c r="H215">
        <v>1405.2</v>
      </c>
      <c r="I215">
        <v>1016.33</v>
      </c>
      <c r="J215" t="s">
        <v>88</v>
      </c>
      <c r="K215" t="s">
        <v>57</v>
      </c>
      <c r="L215">
        <v>40</v>
      </c>
      <c r="M215">
        <v>12</v>
      </c>
      <c r="N215" t="s">
        <v>22</v>
      </c>
    </row>
    <row r="216" spans="1:14" x14ac:dyDescent="0.35">
      <c r="A216" t="s">
        <v>450</v>
      </c>
      <c r="B216" t="s">
        <v>254</v>
      </c>
      <c r="C216">
        <v>2024</v>
      </c>
      <c r="D216" t="s">
        <v>74</v>
      </c>
      <c r="E216" t="s">
        <v>63</v>
      </c>
      <c r="F216" t="s">
        <v>39</v>
      </c>
      <c r="G216" t="s">
        <v>40</v>
      </c>
      <c r="H216">
        <v>1448.43</v>
      </c>
      <c r="I216">
        <v>0</v>
      </c>
      <c r="J216" t="s">
        <v>28</v>
      </c>
      <c r="K216" t="s">
        <v>77</v>
      </c>
      <c r="L216">
        <v>62</v>
      </c>
      <c r="M216">
        <v>8</v>
      </c>
      <c r="N216" t="s">
        <v>30</v>
      </c>
    </row>
    <row r="217" spans="1:14" x14ac:dyDescent="0.35">
      <c r="A217" t="s">
        <v>451</v>
      </c>
      <c r="B217" t="s">
        <v>452</v>
      </c>
      <c r="C217">
        <v>2024</v>
      </c>
      <c r="D217" t="s">
        <v>37</v>
      </c>
      <c r="E217" t="s">
        <v>26</v>
      </c>
      <c r="F217" t="s">
        <v>44</v>
      </c>
      <c r="G217" t="s">
        <v>49</v>
      </c>
      <c r="H217">
        <v>2067.34</v>
      </c>
      <c r="I217">
        <v>0</v>
      </c>
      <c r="J217" t="s">
        <v>28</v>
      </c>
      <c r="K217" t="s">
        <v>77</v>
      </c>
      <c r="L217">
        <v>26</v>
      </c>
      <c r="M217">
        <v>11</v>
      </c>
      <c r="N217" t="s">
        <v>30</v>
      </c>
    </row>
    <row r="218" spans="1:14" x14ac:dyDescent="0.35">
      <c r="A218" t="s">
        <v>453</v>
      </c>
      <c r="B218" t="s">
        <v>454</v>
      </c>
      <c r="C218">
        <v>2024</v>
      </c>
      <c r="D218" t="s">
        <v>25</v>
      </c>
      <c r="E218" t="s">
        <v>38</v>
      </c>
      <c r="F218" t="s">
        <v>39</v>
      </c>
      <c r="G218" t="s">
        <v>19</v>
      </c>
      <c r="H218">
        <v>985.27</v>
      </c>
      <c r="I218">
        <v>1094.18</v>
      </c>
      <c r="J218" t="s">
        <v>34</v>
      </c>
      <c r="K218" t="s">
        <v>21</v>
      </c>
      <c r="L218">
        <v>47</v>
      </c>
      <c r="M218">
        <v>1</v>
      </c>
      <c r="N218" t="s">
        <v>22</v>
      </c>
    </row>
    <row r="219" spans="1:14" x14ac:dyDescent="0.35">
      <c r="A219" t="s">
        <v>455</v>
      </c>
      <c r="B219" t="s">
        <v>96</v>
      </c>
      <c r="C219">
        <v>2024</v>
      </c>
      <c r="D219" t="s">
        <v>25</v>
      </c>
      <c r="E219" t="s">
        <v>26</v>
      </c>
      <c r="F219" t="s">
        <v>39</v>
      </c>
      <c r="G219" t="s">
        <v>19</v>
      </c>
      <c r="H219">
        <v>2837.44</v>
      </c>
      <c r="I219">
        <v>3316.83</v>
      </c>
      <c r="J219" t="s">
        <v>34</v>
      </c>
      <c r="K219" t="s">
        <v>29</v>
      </c>
      <c r="L219">
        <v>59</v>
      </c>
      <c r="M219">
        <v>8</v>
      </c>
      <c r="N219" t="s">
        <v>22</v>
      </c>
    </row>
    <row r="220" spans="1:14" x14ac:dyDescent="0.35">
      <c r="A220" t="s">
        <v>456</v>
      </c>
      <c r="B220" t="s">
        <v>249</v>
      </c>
      <c r="C220">
        <v>2024</v>
      </c>
      <c r="D220" t="s">
        <v>37</v>
      </c>
      <c r="E220" t="s">
        <v>53</v>
      </c>
      <c r="F220" t="s">
        <v>39</v>
      </c>
      <c r="G220" t="s">
        <v>49</v>
      </c>
      <c r="H220">
        <v>1396.43</v>
      </c>
      <c r="I220">
        <v>0</v>
      </c>
      <c r="J220" t="s">
        <v>28</v>
      </c>
      <c r="K220" t="s">
        <v>64</v>
      </c>
      <c r="L220">
        <v>60</v>
      </c>
      <c r="M220">
        <v>9</v>
      </c>
      <c r="N220" t="s">
        <v>30</v>
      </c>
    </row>
    <row r="221" spans="1:14" x14ac:dyDescent="0.35">
      <c r="A221" t="s">
        <v>457</v>
      </c>
      <c r="B221" t="s">
        <v>458</v>
      </c>
      <c r="C221">
        <v>2023</v>
      </c>
      <c r="D221" t="s">
        <v>37</v>
      </c>
      <c r="E221" t="s">
        <v>63</v>
      </c>
      <c r="F221" t="s">
        <v>27</v>
      </c>
      <c r="G221" t="s">
        <v>40</v>
      </c>
      <c r="H221">
        <v>1467.18</v>
      </c>
      <c r="I221">
        <v>1377.01</v>
      </c>
      <c r="J221" t="s">
        <v>34</v>
      </c>
      <c r="K221" t="s">
        <v>71</v>
      </c>
      <c r="L221">
        <v>56</v>
      </c>
      <c r="M221">
        <v>5</v>
      </c>
      <c r="N221" t="s">
        <v>22</v>
      </c>
    </row>
    <row r="222" spans="1:14" x14ac:dyDescent="0.35">
      <c r="A222" t="s">
        <v>459</v>
      </c>
      <c r="B222" t="s">
        <v>460</v>
      </c>
      <c r="C222">
        <v>2024</v>
      </c>
      <c r="D222" t="s">
        <v>85</v>
      </c>
      <c r="E222" t="s">
        <v>17</v>
      </c>
      <c r="F222" t="s">
        <v>44</v>
      </c>
      <c r="G222" t="s">
        <v>49</v>
      </c>
      <c r="H222">
        <v>1742.83</v>
      </c>
      <c r="I222">
        <v>0</v>
      </c>
      <c r="J222" t="s">
        <v>28</v>
      </c>
      <c r="K222" t="s">
        <v>57</v>
      </c>
      <c r="L222">
        <v>59</v>
      </c>
      <c r="M222">
        <v>3</v>
      </c>
      <c r="N222" t="s">
        <v>30</v>
      </c>
    </row>
    <row r="223" spans="1:14" x14ac:dyDescent="0.35">
      <c r="A223" t="s">
        <v>461</v>
      </c>
      <c r="B223" t="s">
        <v>462</v>
      </c>
      <c r="C223">
        <v>2023</v>
      </c>
      <c r="D223" t="s">
        <v>56</v>
      </c>
      <c r="E223" t="s">
        <v>53</v>
      </c>
      <c r="F223" t="s">
        <v>44</v>
      </c>
      <c r="G223" t="s">
        <v>19</v>
      </c>
      <c r="H223">
        <v>2564.3200000000002</v>
      </c>
      <c r="I223">
        <v>2857.86</v>
      </c>
      <c r="J223" t="s">
        <v>88</v>
      </c>
      <c r="K223" t="s">
        <v>64</v>
      </c>
      <c r="L223">
        <v>43</v>
      </c>
      <c r="M223">
        <v>8</v>
      </c>
      <c r="N223" t="s">
        <v>22</v>
      </c>
    </row>
    <row r="224" spans="1:14" x14ac:dyDescent="0.35">
      <c r="A224" t="s">
        <v>463</v>
      </c>
      <c r="B224" t="s">
        <v>464</v>
      </c>
      <c r="C224">
        <v>2023</v>
      </c>
      <c r="D224" t="s">
        <v>60</v>
      </c>
      <c r="E224" t="s">
        <v>26</v>
      </c>
      <c r="F224" t="s">
        <v>39</v>
      </c>
      <c r="G224" t="s">
        <v>49</v>
      </c>
      <c r="H224">
        <v>2170.4</v>
      </c>
      <c r="I224">
        <v>1782.95</v>
      </c>
      <c r="J224" t="s">
        <v>20</v>
      </c>
      <c r="K224" t="s">
        <v>64</v>
      </c>
      <c r="L224">
        <v>55</v>
      </c>
      <c r="M224">
        <v>5</v>
      </c>
      <c r="N224" t="s">
        <v>22</v>
      </c>
    </row>
    <row r="225" spans="1:14" x14ac:dyDescent="0.35">
      <c r="A225" t="s">
        <v>465</v>
      </c>
      <c r="B225" t="s">
        <v>466</v>
      </c>
      <c r="C225">
        <v>2024</v>
      </c>
      <c r="D225" t="s">
        <v>67</v>
      </c>
      <c r="E225" t="s">
        <v>38</v>
      </c>
      <c r="F225" t="s">
        <v>44</v>
      </c>
      <c r="G225" t="s">
        <v>49</v>
      </c>
      <c r="H225">
        <v>702.78</v>
      </c>
      <c r="I225">
        <v>548.03</v>
      </c>
      <c r="J225" t="s">
        <v>20</v>
      </c>
      <c r="K225" t="s">
        <v>57</v>
      </c>
      <c r="L225">
        <v>64</v>
      </c>
      <c r="M225">
        <v>3</v>
      </c>
      <c r="N225" t="s">
        <v>22</v>
      </c>
    </row>
    <row r="226" spans="1:14" x14ac:dyDescent="0.35">
      <c r="A226" t="s">
        <v>467</v>
      </c>
      <c r="B226" t="s">
        <v>468</v>
      </c>
      <c r="C226">
        <v>2023</v>
      </c>
      <c r="D226" t="s">
        <v>67</v>
      </c>
      <c r="E226" t="s">
        <v>17</v>
      </c>
      <c r="F226" t="s">
        <v>39</v>
      </c>
      <c r="G226" t="s">
        <v>19</v>
      </c>
      <c r="H226">
        <v>2491.54</v>
      </c>
      <c r="I226">
        <v>0</v>
      </c>
      <c r="J226" t="s">
        <v>28</v>
      </c>
      <c r="K226" t="s">
        <v>64</v>
      </c>
      <c r="L226">
        <v>71</v>
      </c>
      <c r="M226">
        <v>2</v>
      </c>
      <c r="N226" t="s">
        <v>30</v>
      </c>
    </row>
    <row r="227" spans="1:14" x14ac:dyDescent="0.35">
      <c r="A227" t="s">
        <v>469</v>
      </c>
      <c r="B227" t="s">
        <v>470</v>
      </c>
      <c r="C227">
        <v>2024</v>
      </c>
      <c r="D227" t="s">
        <v>48</v>
      </c>
      <c r="E227" t="s">
        <v>26</v>
      </c>
      <c r="F227" t="s">
        <v>39</v>
      </c>
      <c r="G227" t="s">
        <v>19</v>
      </c>
      <c r="H227">
        <v>3245.14</v>
      </c>
      <c r="I227">
        <v>3475.32</v>
      </c>
      <c r="J227" t="s">
        <v>34</v>
      </c>
      <c r="K227" t="s">
        <v>64</v>
      </c>
      <c r="L227">
        <v>53</v>
      </c>
      <c r="M227">
        <v>6</v>
      </c>
      <c r="N227" t="s">
        <v>22</v>
      </c>
    </row>
    <row r="228" spans="1:14" x14ac:dyDescent="0.35">
      <c r="A228" t="s">
        <v>471</v>
      </c>
      <c r="B228" t="s">
        <v>472</v>
      </c>
      <c r="C228">
        <v>2024</v>
      </c>
      <c r="D228" t="s">
        <v>48</v>
      </c>
      <c r="E228" t="s">
        <v>63</v>
      </c>
      <c r="F228" t="s">
        <v>68</v>
      </c>
      <c r="G228" t="s">
        <v>19</v>
      </c>
      <c r="H228">
        <v>2063.1</v>
      </c>
      <c r="I228">
        <v>2357.27</v>
      </c>
      <c r="J228" t="s">
        <v>34</v>
      </c>
      <c r="K228" t="s">
        <v>21</v>
      </c>
      <c r="L228">
        <v>71</v>
      </c>
      <c r="M228">
        <v>11</v>
      </c>
      <c r="N228" t="s">
        <v>22</v>
      </c>
    </row>
    <row r="229" spans="1:14" x14ac:dyDescent="0.35">
      <c r="A229" t="s">
        <v>473</v>
      </c>
      <c r="B229" t="s">
        <v>474</v>
      </c>
      <c r="C229">
        <v>2023</v>
      </c>
      <c r="D229" t="s">
        <v>16</v>
      </c>
      <c r="E229" t="s">
        <v>26</v>
      </c>
      <c r="F229" t="s">
        <v>27</v>
      </c>
      <c r="G229" t="s">
        <v>49</v>
      </c>
      <c r="H229">
        <v>2163.1799999999998</v>
      </c>
      <c r="I229">
        <v>1872.39</v>
      </c>
      <c r="J229" t="s">
        <v>20</v>
      </c>
      <c r="K229" t="s">
        <v>45</v>
      </c>
      <c r="L229">
        <v>38</v>
      </c>
      <c r="M229">
        <v>2</v>
      </c>
      <c r="N229" t="s">
        <v>22</v>
      </c>
    </row>
    <row r="230" spans="1:14" x14ac:dyDescent="0.35">
      <c r="A230" t="s">
        <v>475</v>
      </c>
      <c r="B230" t="s">
        <v>476</v>
      </c>
      <c r="C230">
        <v>2024</v>
      </c>
      <c r="D230" t="s">
        <v>52</v>
      </c>
      <c r="E230" t="s">
        <v>26</v>
      </c>
      <c r="F230" t="s">
        <v>39</v>
      </c>
      <c r="G230" t="s">
        <v>49</v>
      </c>
      <c r="H230">
        <v>2067.0300000000002</v>
      </c>
      <c r="I230">
        <v>0</v>
      </c>
      <c r="J230" t="s">
        <v>28</v>
      </c>
      <c r="K230" t="s">
        <v>21</v>
      </c>
      <c r="L230">
        <v>49</v>
      </c>
      <c r="M230">
        <v>1</v>
      </c>
      <c r="N230" t="s">
        <v>30</v>
      </c>
    </row>
    <row r="231" spans="1:14" x14ac:dyDescent="0.35">
      <c r="A231" t="s">
        <v>477</v>
      </c>
      <c r="B231" t="s">
        <v>478</v>
      </c>
      <c r="C231">
        <v>2023</v>
      </c>
      <c r="D231" t="s">
        <v>52</v>
      </c>
      <c r="E231" t="s">
        <v>53</v>
      </c>
      <c r="F231" t="s">
        <v>68</v>
      </c>
      <c r="G231" t="s">
        <v>19</v>
      </c>
      <c r="H231">
        <v>2566.46</v>
      </c>
      <c r="I231">
        <v>0</v>
      </c>
      <c r="J231" t="s">
        <v>28</v>
      </c>
      <c r="K231" t="s">
        <v>45</v>
      </c>
      <c r="L231">
        <v>60</v>
      </c>
      <c r="M231">
        <v>11</v>
      </c>
      <c r="N231" t="s">
        <v>30</v>
      </c>
    </row>
    <row r="232" spans="1:14" x14ac:dyDescent="0.35">
      <c r="A232" t="s">
        <v>479</v>
      </c>
      <c r="B232" t="s">
        <v>480</v>
      </c>
      <c r="C232">
        <v>2024</v>
      </c>
      <c r="D232" t="s">
        <v>16</v>
      </c>
      <c r="E232" t="s">
        <v>26</v>
      </c>
      <c r="F232" t="s">
        <v>68</v>
      </c>
      <c r="G232" t="s">
        <v>49</v>
      </c>
      <c r="H232">
        <v>1874.32</v>
      </c>
      <c r="I232">
        <v>1448.75</v>
      </c>
      <c r="J232" t="s">
        <v>88</v>
      </c>
      <c r="K232" t="s">
        <v>45</v>
      </c>
      <c r="L232">
        <v>51</v>
      </c>
      <c r="M232">
        <v>7</v>
      </c>
      <c r="N232" t="s">
        <v>22</v>
      </c>
    </row>
    <row r="233" spans="1:14" x14ac:dyDescent="0.35">
      <c r="A233" t="s">
        <v>481</v>
      </c>
      <c r="B233" t="s">
        <v>482</v>
      </c>
      <c r="C233">
        <v>2023</v>
      </c>
      <c r="D233" t="s">
        <v>33</v>
      </c>
      <c r="E233" t="s">
        <v>63</v>
      </c>
      <c r="F233" t="s">
        <v>18</v>
      </c>
      <c r="G233" t="s">
        <v>19</v>
      </c>
      <c r="H233">
        <v>1824.48</v>
      </c>
      <c r="I233">
        <v>0</v>
      </c>
      <c r="J233" t="s">
        <v>28</v>
      </c>
      <c r="K233" t="s">
        <v>57</v>
      </c>
      <c r="L233">
        <v>65</v>
      </c>
      <c r="M233">
        <v>11</v>
      </c>
      <c r="N233" t="s">
        <v>30</v>
      </c>
    </row>
    <row r="234" spans="1:14" x14ac:dyDescent="0.35">
      <c r="A234" t="s">
        <v>483</v>
      </c>
      <c r="B234" t="s">
        <v>460</v>
      </c>
      <c r="C234">
        <v>2024</v>
      </c>
      <c r="D234" t="s">
        <v>85</v>
      </c>
      <c r="E234" t="s">
        <v>53</v>
      </c>
      <c r="F234" t="s">
        <v>39</v>
      </c>
      <c r="G234" t="s">
        <v>40</v>
      </c>
      <c r="H234">
        <v>1843.31</v>
      </c>
      <c r="I234">
        <v>1591.71</v>
      </c>
      <c r="J234" t="s">
        <v>34</v>
      </c>
      <c r="K234" t="s">
        <v>21</v>
      </c>
      <c r="L234">
        <v>32</v>
      </c>
      <c r="M234">
        <v>11</v>
      </c>
      <c r="N234" t="s">
        <v>22</v>
      </c>
    </row>
    <row r="235" spans="1:14" x14ac:dyDescent="0.35">
      <c r="A235" t="s">
        <v>484</v>
      </c>
      <c r="B235" t="s">
        <v>485</v>
      </c>
      <c r="C235">
        <v>2024</v>
      </c>
      <c r="D235" t="s">
        <v>67</v>
      </c>
      <c r="E235" t="s">
        <v>38</v>
      </c>
      <c r="F235" t="s">
        <v>18</v>
      </c>
      <c r="G235" t="s">
        <v>40</v>
      </c>
      <c r="H235">
        <v>824.9</v>
      </c>
      <c r="I235">
        <v>793.34</v>
      </c>
      <c r="J235" t="s">
        <v>20</v>
      </c>
      <c r="K235" t="s">
        <v>64</v>
      </c>
      <c r="L235">
        <v>21</v>
      </c>
      <c r="M235">
        <v>1</v>
      </c>
      <c r="N235" t="s">
        <v>22</v>
      </c>
    </row>
    <row r="236" spans="1:14" x14ac:dyDescent="0.35">
      <c r="A236" t="s">
        <v>486</v>
      </c>
      <c r="B236" t="s">
        <v>487</v>
      </c>
      <c r="C236">
        <v>2023</v>
      </c>
      <c r="D236" t="s">
        <v>52</v>
      </c>
      <c r="E236" t="s">
        <v>38</v>
      </c>
      <c r="F236" t="s">
        <v>18</v>
      </c>
      <c r="G236" t="s">
        <v>40</v>
      </c>
      <c r="H236">
        <v>846.47</v>
      </c>
      <c r="I236">
        <v>0</v>
      </c>
      <c r="J236" t="s">
        <v>28</v>
      </c>
      <c r="K236" t="s">
        <v>57</v>
      </c>
      <c r="L236">
        <v>25</v>
      </c>
      <c r="M236">
        <v>5</v>
      </c>
      <c r="N236" t="s">
        <v>30</v>
      </c>
    </row>
    <row r="237" spans="1:14" x14ac:dyDescent="0.35">
      <c r="A237" t="s">
        <v>488</v>
      </c>
      <c r="B237" t="s">
        <v>397</v>
      </c>
      <c r="C237">
        <v>2024</v>
      </c>
      <c r="D237" t="s">
        <v>37</v>
      </c>
      <c r="E237" t="s">
        <v>63</v>
      </c>
      <c r="F237" t="s">
        <v>18</v>
      </c>
      <c r="G237" t="s">
        <v>49</v>
      </c>
      <c r="H237">
        <v>1309.46</v>
      </c>
      <c r="I237">
        <v>0</v>
      </c>
      <c r="J237" t="s">
        <v>28</v>
      </c>
      <c r="K237" t="s">
        <v>21</v>
      </c>
      <c r="L237">
        <v>70</v>
      </c>
      <c r="M237">
        <v>8</v>
      </c>
      <c r="N237" t="s">
        <v>30</v>
      </c>
    </row>
    <row r="238" spans="1:14" x14ac:dyDescent="0.35">
      <c r="A238" t="s">
        <v>489</v>
      </c>
      <c r="B238" t="s">
        <v>490</v>
      </c>
      <c r="C238">
        <v>2024</v>
      </c>
      <c r="D238" t="s">
        <v>33</v>
      </c>
      <c r="E238" t="s">
        <v>26</v>
      </c>
      <c r="F238" t="s">
        <v>27</v>
      </c>
      <c r="G238" t="s">
        <v>49</v>
      </c>
      <c r="H238">
        <v>1932.31</v>
      </c>
      <c r="I238">
        <v>1454.68</v>
      </c>
      <c r="J238" t="s">
        <v>88</v>
      </c>
      <c r="K238" t="s">
        <v>57</v>
      </c>
      <c r="L238">
        <v>37</v>
      </c>
      <c r="M238">
        <v>11</v>
      </c>
      <c r="N238" t="s">
        <v>22</v>
      </c>
    </row>
    <row r="239" spans="1:14" x14ac:dyDescent="0.35">
      <c r="A239" t="s">
        <v>491</v>
      </c>
      <c r="B239" t="s">
        <v>106</v>
      </c>
      <c r="C239">
        <v>2024</v>
      </c>
      <c r="D239" t="s">
        <v>48</v>
      </c>
      <c r="E239" t="s">
        <v>17</v>
      </c>
      <c r="F239" t="s">
        <v>44</v>
      </c>
      <c r="G239" t="s">
        <v>40</v>
      </c>
      <c r="H239">
        <v>2162.4499999999998</v>
      </c>
      <c r="I239">
        <v>0</v>
      </c>
      <c r="J239" t="s">
        <v>28</v>
      </c>
      <c r="K239" t="s">
        <v>21</v>
      </c>
      <c r="L239">
        <v>49</v>
      </c>
      <c r="M239">
        <v>3</v>
      </c>
      <c r="N239" t="s">
        <v>30</v>
      </c>
    </row>
    <row r="240" spans="1:14" x14ac:dyDescent="0.35">
      <c r="A240" t="s">
        <v>492</v>
      </c>
      <c r="B240" t="s">
        <v>493</v>
      </c>
      <c r="C240">
        <v>2024</v>
      </c>
      <c r="D240" t="s">
        <v>25</v>
      </c>
      <c r="E240" t="s">
        <v>38</v>
      </c>
      <c r="F240" t="s">
        <v>18</v>
      </c>
      <c r="G240" t="s">
        <v>49</v>
      </c>
      <c r="H240">
        <v>671.98</v>
      </c>
      <c r="I240">
        <v>499.16</v>
      </c>
      <c r="J240" t="s">
        <v>34</v>
      </c>
      <c r="K240" t="s">
        <v>71</v>
      </c>
      <c r="L240">
        <v>36</v>
      </c>
      <c r="M240">
        <v>11</v>
      </c>
      <c r="N240" t="s">
        <v>22</v>
      </c>
    </row>
    <row r="241" spans="1:14" x14ac:dyDescent="0.35">
      <c r="A241" t="s">
        <v>494</v>
      </c>
      <c r="B241" t="s">
        <v>495</v>
      </c>
      <c r="C241">
        <v>2024</v>
      </c>
      <c r="D241" t="s">
        <v>67</v>
      </c>
      <c r="E241" t="s">
        <v>38</v>
      </c>
      <c r="F241" t="s">
        <v>44</v>
      </c>
      <c r="G241" t="s">
        <v>49</v>
      </c>
      <c r="H241">
        <v>671.37</v>
      </c>
      <c r="I241">
        <v>0</v>
      </c>
      <c r="J241" t="s">
        <v>28</v>
      </c>
      <c r="K241" t="s">
        <v>29</v>
      </c>
      <c r="L241">
        <v>21</v>
      </c>
      <c r="M241">
        <v>1</v>
      </c>
      <c r="N241" t="s">
        <v>30</v>
      </c>
    </row>
    <row r="242" spans="1:14" x14ac:dyDescent="0.35">
      <c r="A242" t="s">
        <v>496</v>
      </c>
      <c r="B242" t="s">
        <v>497</v>
      </c>
      <c r="C242">
        <v>2024</v>
      </c>
      <c r="D242" t="s">
        <v>74</v>
      </c>
      <c r="E242" t="s">
        <v>26</v>
      </c>
      <c r="F242" t="s">
        <v>68</v>
      </c>
      <c r="G242" t="s">
        <v>19</v>
      </c>
      <c r="H242">
        <v>3421.54</v>
      </c>
      <c r="I242">
        <v>0</v>
      </c>
      <c r="J242" t="s">
        <v>28</v>
      </c>
      <c r="K242" t="s">
        <v>64</v>
      </c>
      <c r="L242">
        <v>31</v>
      </c>
      <c r="M242">
        <v>11</v>
      </c>
      <c r="N242" t="s">
        <v>30</v>
      </c>
    </row>
    <row r="243" spans="1:14" x14ac:dyDescent="0.35">
      <c r="A243" t="s">
        <v>498</v>
      </c>
      <c r="B243" t="s">
        <v>499</v>
      </c>
      <c r="C243">
        <v>2024</v>
      </c>
      <c r="D243" t="s">
        <v>67</v>
      </c>
      <c r="E243" t="s">
        <v>38</v>
      </c>
      <c r="F243" t="s">
        <v>27</v>
      </c>
      <c r="G243" t="s">
        <v>49</v>
      </c>
      <c r="H243">
        <v>729.22</v>
      </c>
      <c r="I243">
        <v>0</v>
      </c>
      <c r="J243" t="s">
        <v>28</v>
      </c>
      <c r="K243" t="s">
        <v>64</v>
      </c>
      <c r="L243">
        <v>27</v>
      </c>
      <c r="M243">
        <v>9</v>
      </c>
      <c r="N243" t="s">
        <v>30</v>
      </c>
    </row>
    <row r="244" spans="1:14" x14ac:dyDescent="0.35">
      <c r="A244" t="s">
        <v>500</v>
      </c>
      <c r="B244" t="s">
        <v>501</v>
      </c>
      <c r="C244">
        <v>2023</v>
      </c>
      <c r="D244" t="s">
        <v>52</v>
      </c>
      <c r="E244" t="s">
        <v>38</v>
      </c>
      <c r="F244" t="s">
        <v>68</v>
      </c>
      <c r="G244" t="s">
        <v>40</v>
      </c>
      <c r="H244">
        <v>814.8</v>
      </c>
      <c r="I244">
        <v>0</v>
      </c>
      <c r="J244" t="s">
        <v>28</v>
      </c>
      <c r="K244" t="s">
        <v>64</v>
      </c>
      <c r="L244">
        <v>53</v>
      </c>
      <c r="M244">
        <v>11</v>
      </c>
      <c r="N244" t="s">
        <v>30</v>
      </c>
    </row>
    <row r="245" spans="1:14" x14ac:dyDescent="0.35">
      <c r="A245" t="s">
        <v>502</v>
      </c>
      <c r="B245" t="s">
        <v>378</v>
      </c>
      <c r="C245">
        <v>2023</v>
      </c>
      <c r="D245" t="s">
        <v>67</v>
      </c>
      <c r="E245" t="s">
        <v>63</v>
      </c>
      <c r="F245" t="s">
        <v>44</v>
      </c>
      <c r="G245" t="s">
        <v>19</v>
      </c>
      <c r="H245">
        <v>1877.74</v>
      </c>
      <c r="I245">
        <v>0</v>
      </c>
      <c r="J245" t="s">
        <v>28</v>
      </c>
      <c r="K245" t="s">
        <v>57</v>
      </c>
      <c r="L245">
        <v>69</v>
      </c>
      <c r="M245">
        <v>5</v>
      </c>
      <c r="N245" t="s">
        <v>30</v>
      </c>
    </row>
    <row r="246" spans="1:14" x14ac:dyDescent="0.35">
      <c r="A246" t="s">
        <v>503</v>
      </c>
      <c r="B246" t="s">
        <v>504</v>
      </c>
      <c r="C246">
        <v>2023</v>
      </c>
      <c r="D246" t="s">
        <v>37</v>
      </c>
      <c r="E246" t="s">
        <v>53</v>
      </c>
      <c r="F246" t="s">
        <v>27</v>
      </c>
      <c r="G246" t="s">
        <v>49</v>
      </c>
      <c r="H246">
        <v>1415.81</v>
      </c>
      <c r="I246">
        <v>0</v>
      </c>
      <c r="J246" t="s">
        <v>28</v>
      </c>
      <c r="K246" t="s">
        <v>29</v>
      </c>
      <c r="L246">
        <v>72</v>
      </c>
      <c r="M246">
        <v>10</v>
      </c>
      <c r="N246" t="s">
        <v>30</v>
      </c>
    </row>
    <row r="247" spans="1:14" x14ac:dyDescent="0.35">
      <c r="A247" t="s">
        <v>505</v>
      </c>
      <c r="B247" t="s">
        <v>506</v>
      </c>
      <c r="C247">
        <v>2024</v>
      </c>
      <c r="D247" t="s">
        <v>33</v>
      </c>
      <c r="E247" t="s">
        <v>63</v>
      </c>
      <c r="F247" t="s">
        <v>39</v>
      </c>
      <c r="G247" t="s">
        <v>49</v>
      </c>
      <c r="H247">
        <v>1366.71</v>
      </c>
      <c r="I247">
        <v>0</v>
      </c>
      <c r="J247" t="s">
        <v>28</v>
      </c>
      <c r="K247" t="s">
        <v>45</v>
      </c>
      <c r="L247">
        <v>21</v>
      </c>
      <c r="M247">
        <v>1</v>
      </c>
      <c r="N247" t="s">
        <v>30</v>
      </c>
    </row>
    <row r="248" spans="1:14" x14ac:dyDescent="0.35">
      <c r="A248" t="s">
        <v>507</v>
      </c>
      <c r="B248" t="s">
        <v>508</v>
      </c>
      <c r="C248">
        <v>2024</v>
      </c>
      <c r="D248" t="s">
        <v>56</v>
      </c>
      <c r="E248" t="s">
        <v>38</v>
      </c>
      <c r="F248" t="s">
        <v>27</v>
      </c>
      <c r="G248" t="s">
        <v>49</v>
      </c>
      <c r="H248">
        <v>699.98</v>
      </c>
      <c r="I248">
        <v>629.14</v>
      </c>
      <c r="J248" t="s">
        <v>88</v>
      </c>
      <c r="K248" t="s">
        <v>45</v>
      </c>
      <c r="L248">
        <v>21</v>
      </c>
      <c r="M248">
        <v>1</v>
      </c>
      <c r="N248" t="s">
        <v>22</v>
      </c>
    </row>
    <row r="249" spans="1:14" x14ac:dyDescent="0.35">
      <c r="A249" t="s">
        <v>509</v>
      </c>
      <c r="B249" t="s">
        <v>166</v>
      </c>
      <c r="C249">
        <v>2024</v>
      </c>
      <c r="D249" t="s">
        <v>16</v>
      </c>
      <c r="E249" t="s">
        <v>63</v>
      </c>
      <c r="F249" t="s">
        <v>18</v>
      </c>
      <c r="G249" t="s">
        <v>49</v>
      </c>
      <c r="H249">
        <v>1350.87</v>
      </c>
      <c r="I249">
        <v>1032.49</v>
      </c>
      <c r="J249" t="s">
        <v>88</v>
      </c>
      <c r="K249" t="s">
        <v>64</v>
      </c>
      <c r="L249">
        <v>66</v>
      </c>
      <c r="M249">
        <v>11</v>
      </c>
      <c r="N249" t="s">
        <v>22</v>
      </c>
    </row>
    <row r="250" spans="1:14" x14ac:dyDescent="0.35">
      <c r="A250" t="s">
        <v>510</v>
      </c>
      <c r="B250" t="s">
        <v>511</v>
      </c>
      <c r="C250">
        <v>2024</v>
      </c>
      <c r="D250" t="s">
        <v>85</v>
      </c>
      <c r="E250" t="s">
        <v>38</v>
      </c>
      <c r="F250" t="s">
        <v>68</v>
      </c>
      <c r="G250" t="s">
        <v>49</v>
      </c>
      <c r="H250">
        <v>721.13</v>
      </c>
      <c r="I250">
        <v>0</v>
      </c>
      <c r="J250" t="s">
        <v>28</v>
      </c>
      <c r="K250" t="s">
        <v>29</v>
      </c>
      <c r="L250">
        <v>31</v>
      </c>
      <c r="M250">
        <v>8</v>
      </c>
      <c r="N250" t="s">
        <v>30</v>
      </c>
    </row>
    <row r="251" spans="1:14" x14ac:dyDescent="0.35">
      <c r="A251" t="s">
        <v>512</v>
      </c>
      <c r="B251" t="s">
        <v>42</v>
      </c>
      <c r="C251">
        <v>2024</v>
      </c>
      <c r="D251" t="s">
        <v>43</v>
      </c>
      <c r="E251" t="s">
        <v>26</v>
      </c>
      <c r="F251" t="s">
        <v>18</v>
      </c>
      <c r="G251" t="s">
        <v>19</v>
      </c>
      <c r="H251">
        <v>3393.29</v>
      </c>
      <c r="I251">
        <v>0</v>
      </c>
      <c r="J251" t="s">
        <v>28</v>
      </c>
      <c r="K251" t="s">
        <v>71</v>
      </c>
      <c r="L251">
        <v>51</v>
      </c>
      <c r="M251">
        <v>6</v>
      </c>
      <c r="N251" t="s">
        <v>30</v>
      </c>
    </row>
    <row r="252" spans="1:14" x14ac:dyDescent="0.35">
      <c r="A252" t="s">
        <v>513</v>
      </c>
      <c r="B252" t="s">
        <v>514</v>
      </c>
      <c r="C252">
        <v>2024</v>
      </c>
      <c r="D252" t="s">
        <v>43</v>
      </c>
      <c r="E252" t="s">
        <v>53</v>
      </c>
      <c r="F252" t="s">
        <v>27</v>
      </c>
      <c r="G252" t="s">
        <v>49</v>
      </c>
      <c r="H252">
        <v>1498.62</v>
      </c>
      <c r="I252">
        <v>1256.48</v>
      </c>
      <c r="J252" t="s">
        <v>20</v>
      </c>
      <c r="K252" t="s">
        <v>57</v>
      </c>
      <c r="L252">
        <v>35</v>
      </c>
      <c r="M252">
        <v>11</v>
      </c>
      <c r="N252" t="s">
        <v>22</v>
      </c>
    </row>
    <row r="253" spans="1:14" x14ac:dyDescent="0.35">
      <c r="A253" t="s">
        <v>515</v>
      </c>
      <c r="B253" t="s">
        <v>480</v>
      </c>
      <c r="C253">
        <v>2024</v>
      </c>
      <c r="D253" t="s">
        <v>16</v>
      </c>
      <c r="E253" t="s">
        <v>63</v>
      </c>
      <c r="F253" t="s">
        <v>39</v>
      </c>
      <c r="G253" t="s">
        <v>19</v>
      </c>
      <c r="H253">
        <v>2093.1799999999998</v>
      </c>
      <c r="I253">
        <v>2159.2800000000002</v>
      </c>
      <c r="J253" t="s">
        <v>34</v>
      </c>
      <c r="K253" t="s">
        <v>64</v>
      </c>
      <c r="L253">
        <v>42</v>
      </c>
      <c r="M253">
        <v>7</v>
      </c>
      <c r="N253" t="s">
        <v>22</v>
      </c>
    </row>
    <row r="254" spans="1:14" x14ac:dyDescent="0.35">
      <c r="A254" t="s">
        <v>516</v>
      </c>
      <c r="B254" t="s">
        <v>517</v>
      </c>
      <c r="C254">
        <v>2024</v>
      </c>
      <c r="D254" t="s">
        <v>67</v>
      </c>
      <c r="E254" t="s">
        <v>38</v>
      </c>
      <c r="F254" t="s">
        <v>68</v>
      </c>
      <c r="G254" t="s">
        <v>19</v>
      </c>
      <c r="H254">
        <v>1011.17</v>
      </c>
      <c r="I254">
        <v>0</v>
      </c>
      <c r="J254" t="s">
        <v>28</v>
      </c>
      <c r="K254" t="s">
        <v>77</v>
      </c>
      <c r="L254">
        <v>71</v>
      </c>
      <c r="M254">
        <v>9</v>
      </c>
      <c r="N254" t="s">
        <v>30</v>
      </c>
    </row>
    <row r="255" spans="1:14" x14ac:dyDescent="0.35">
      <c r="A255" t="s">
        <v>518</v>
      </c>
      <c r="B255" t="s">
        <v>519</v>
      </c>
      <c r="C255">
        <v>2023</v>
      </c>
      <c r="D255" t="s">
        <v>48</v>
      </c>
      <c r="E255" t="s">
        <v>63</v>
      </c>
      <c r="F255" t="s">
        <v>39</v>
      </c>
      <c r="G255" t="s">
        <v>40</v>
      </c>
      <c r="H255">
        <v>1597.49</v>
      </c>
      <c r="I255">
        <v>1412.72</v>
      </c>
      <c r="J255" t="s">
        <v>20</v>
      </c>
      <c r="K255" t="s">
        <v>57</v>
      </c>
      <c r="L255">
        <v>45</v>
      </c>
      <c r="M255">
        <v>5</v>
      </c>
      <c r="N255" t="s">
        <v>22</v>
      </c>
    </row>
    <row r="256" spans="1:14" x14ac:dyDescent="0.35">
      <c r="A256" t="s">
        <v>520</v>
      </c>
      <c r="B256" t="s">
        <v>319</v>
      </c>
      <c r="C256">
        <v>2024</v>
      </c>
      <c r="D256" t="s">
        <v>33</v>
      </c>
      <c r="E256" t="s">
        <v>63</v>
      </c>
      <c r="F256" t="s">
        <v>39</v>
      </c>
      <c r="G256" t="s">
        <v>19</v>
      </c>
      <c r="H256">
        <v>1987.61</v>
      </c>
      <c r="I256">
        <v>2108.12</v>
      </c>
      <c r="J256" t="s">
        <v>34</v>
      </c>
      <c r="K256" t="s">
        <v>82</v>
      </c>
      <c r="L256">
        <v>35</v>
      </c>
      <c r="M256">
        <v>11</v>
      </c>
      <c r="N256" t="s">
        <v>22</v>
      </c>
    </row>
    <row r="257" spans="1:14" x14ac:dyDescent="0.35">
      <c r="A257" t="s">
        <v>521</v>
      </c>
      <c r="B257" t="s">
        <v>522</v>
      </c>
      <c r="C257">
        <v>2024</v>
      </c>
      <c r="D257" t="s">
        <v>67</v>
      </c>
      <c r="E257" t="s">
        <v>53</v>
      </c>
      <c r="F257" t="s">
        <v>39</v>
      </c>
      <c r="G257" t="s">
        <v>49</v>
      </c>
      <c r="H257">
        <v>1445.05</v>
      </c>
      <c r="I257">
        <v>1126.4100000000001</v>
      </c>
      <c r="J257" t="s">
        <v>34</v>
      </c>
      <c r="K257" t="s">
        <v>29</v>
      </c>
      <c r="L257">
        <v>38</v>
      </c>
      <c r="M257">
        <v>6</v>
      </c>
      <c r="N257" t="s">
        <v>22</v>
      </c>
    </row>
    <row r="258" spans="1:14" x14ac:dyDescent="0.35">
      <c r="A258" t="s">
        <v>523</v>
      </c>
      <c r="B258" t="s">
        <v>524</v>
      </c>
      <c r="C258">
        <v>2023</v>
      </c>
      <c r="D258" t="s">
        <v>25</v>
      </c>
      <c r="E258" t="s">
        <v>38</v>
      </c>
      <c r="F258" t="s">
        <v>27</v>
      </c>
      <c r="G258" t="s">
        <v>40</v>
      </c>
      <c r="H258">
        <v>744.72</v>
      </c>
      <c r="I258">
        <v>0</v>
      </c>
      <c r="J258" t="s">
        <v>28</v>
      </c>
      <c r="K258" t="s">
        <v>29</v>
      </c>
      <c r="L258">
        <v>21</v>
      </c>
      <c r="M258">
        <v>10</v>
      </c>
      <c r="N258" t="s">
        <v>30</v>
      </c>
    </row>
    <row r="259" spans="1:14" x14ac:dyDescent="0.35">
      <c r="A259" t="s">
        <v>525</v>
      </c>
      <c r="B259" t="s">
        <v>526</v>
      </c>
      <c r="C259">
        <v>2024</v>
      </c>
      <c r="D259" t="s">
        <v>16</v>
      </c>
      <c r="E259" t="s">
        <v>26</v>
      </c>
      <c r="F259" t="s">
        <v>18</v>
      </c>
      <c r="G259" t="s">
        <v>19</v>
      </c>
      <c r="H259">
        <v>3380.39</v>
      </c>
      <c r="I259">
        <v>3766.95</v>
      </c>
      <c r="J259" t="s">
        <v>20</v>
      </c>
      <c r="K259" t="s">
        <v>64</v>
      </c>
      <c r="L259">
        <v>48</v>
      </c>
      <c r="M259">
        <v>10</v>
      </c>
      <c r="N259" t="s">
        <v>22</v>
      </c>
    </row>
    <row r="260" spans="1:14" x14ac:dyDescent="0.35">
      <c r="A260" t="s">
        <v>527</v>
      </c>
      <c r="B260" t="s">
        <v>306</v>
      </c>
      <c r="C260">
        <v>2023</v>
      </c>
      <c r="D260" t="s">
        <v>16</v>
      </c>
      <c r="E260" t="s">
        <v>53</v>
      </c>
      <c r="F260" t="s">
        <v>39</v>
      </c>
      <c r="G260" t="s">
        <v>19</v>
      </c>
      <c r="H260">
        <v>2371.7199999999998</v>
      </c>
      <c r="I260">
        <v>0</v>
      </c>
      <c r="J260" t="s">
        <v>28</v>
      </c>
      <c r="K260" t="s">
        <v>71</v>
      </c>
      <c r="L260">
        <v>33</v>
      </c>
      <c r="M260">
        <v>12</v>
      </c>
      <c r="N260" t="s">
        <v>30</v>
      </c>
    </row>
    <row r="261" spans="1:14" x14ac:dyDescent="0.35">
      <c r="A261" t="s">
        <v>528</v>
      </c>
      <c r="B261" t="s">
        <v>529</v>
      </c>
      <c r="C261">
        <v>2024</v>
      </c>
      <c r="D261" t="s">
        <v>85</v>
      </c>
      <c r="E261" t="s">
        <v>17</v>
      </c>
      <c r="F261" t="s">
        <v>27</v>
      </c>
      <c r="G261" t="s">
        <v>49</v>
      </c>
      <c r="H261">
        <v>1642.79</v>
      </c>
      <c r="I261">
        <v>1436.32</v>
      </c>
      <c r="J261" t="s">
        <v>34</v>
      </c>
      <c r="K261" t="s">
        <v>29</v>
      </c>
      <c r="L261">
        <v>48</v>
      </c>
      <c r="M261">
        <v>3</v>
      </c>
      <c r="N261" t="s">
        <v>22</v>
      </c>
    </row>
    <row r="262" spans="1:14" x14ac:dyDescent="0.35">
      <c r="A262" t="s">
        <v>530</v>
      </c>
      <c r="B262" t="s">
        <v>531</v>
      </c>
      <c r="C262">
        <v>2024</v>
      </c>
      <c r="D262" t="s">
        <v>74</v>
      </c>
      <c r="E262" t="s">
        <v>17</v>
      </c>
      <c r="F262" t="s">
        <v>68</v>
      </c>
      <c r="G262" t="s">
        <v>40</v>
      </c>
      <c r="H262">
        <v>2085.91</v>
      </c>
      <c r="I262">
        <v>2001.04</v>
      </c>
      <c r="J262" t="s">
        <v>34</v>
      </c>
      <c r="K262" t="s">
        <v>64</v>
      </c>
      <c r="L262">
        <v>71</v>
      </c>
      <c r="M262">
        <v>7</v>
      </c>
      <c r="N262" t="s">
        <v>22</v>
      </c>
    </row>
    <row r="263" spans="1:14" x14ac:dyDescent="0.35">
      <c r="A263" t="s">
        <v>532</v>
      </c>
      <c r="B263" t="s">
        <v>533</v>
      </c>
      <c r="C263">
        <v>2024</v>
      </c>
      <c r="D263" t="s">
        <v>85</v>
      </c>
      <c r="E263" t="s">
        <v>17</v>
      </c>
      <c r="F263" t="s">
        <v>44</v>
      </c>
      <c r="G263" t="s">
        <v>40</v>
      </c>
      <c r="H263">
        <v>2019.03</v>
      </c>
      <c r="I263">
        <v>0</v>
      </c>
      <c r="J263" t="s">
        <v>28</v>
      </c>
      <c r="K263" t="s">
        <v>21</v>
      </c>
      <c r="L263">
        <v>68</v>
      </c>
      <c r="M263">
        <v>2</v>
      </c>
      <c r="N263" t="s">
        <v>30</v>
      </c>
    </row>
    <row r="264" spans="1:14" x14ac:dyDescent="0.35">
      <c r="A264" t="s">
        <v>534</v>
      </c>
      <c r="B264" t="s">
        <v>535</v>
      </c>
      <c r="C264">
        <v>2023</v>
      </c>
      <c r="D264" t="s">
        <v>56</v>
      </c>
      <c r="E264" t="s">
        <v>38</v>
      </c>
      <c r="F264" t="s">
        <v>44</v>
      </c>
      <c r="G264" t="s">
        <v>19</v>
      </c>
      <c r="H264">
        <v>985.3</v>
      </c>
      <c r="I264">
        <v>1077.53</v>
      </c>
      <c r="J264" t="s">
        <v>34</v>
      </c>
      <c r="K264" t="s">
        <v>57</v>
      </c>
      <c r="L264">
        <v>34</v>
      </c>
      <c r="M264">
        <v>6</v>
      </c>
      <c r="N264" t="s">
        <v>22</v>
      </c>
    </row>
    <row r="265" spans="1:14" x14ac:dyDescent="0.35">
      <c r="A265" t="s">
        <v>536</v>
      </c>
      <c r="B265" t="s">
        <v>537</v>
      </c>
      <c r="C265">
        <v>2023</v>
      </c>
      <c r="D265" t="s">
        <v>16</v>
      </c>
      <c r="E265" t="s">
        <v>17</v>
      </c>
      <c r="F265" t="s">
        <v>44</v>
      </c>
      <c r="G265" t="s">
        <v>49</v>
      </c>
      <c r="H265">
        <v>1728.44</v>
      </c>
      <c r="I265">
        <v>1324.85</v>
      </c>
      <c r="J265" t="s">
        <v>34</v>
      </c>
      <c r="K265" t="s">
        <v>57</v>
      </c>
      <c r="L265">
        <v>39</v>
      </c>
      <c r="M265">
        <v>4</v>
      </c>
      <c r="N265" t="s">
        <v>22</v>
      </c>
    </row>
    <row r="266" spans="1:14" x14ac:dyDescent="0.35">
      <c r="A266" t="s">
        <v>538</v>
      </c>
      <c r="B266" t="s">
        <v>196</v>
      </c>
      <c r="C266">
        <v>2023</v>
      </c>
      <c r="D266" t="s">
        <v>43</v>
      </c>
      <c r="E266" t="s">
        <v>53</v>
      </c>
      <c r="F266" t="s">
        <v>18</v>
      </c>
      <c r="G266" t="s">
        <v>49</v>
      </c>
      <c r="H266">
        <v>1448.99</v>
      </c>
      <c r="I266">
        <v>1189.3699999999999</v>
      </c>
      <c r="J266" t="s">
        <v>20</v>
      </c>
      <c r="K266" t="s">
        <v>64</v>
      </c>
      <c r="L266">
        <v>25</v>
      </c>
      <c r="M266">
        <v>10</v>
      </c>
      <c r="N266" t="s">
        <v>22</v>
      </c>
    </row>
    <row r="267" spans="1:14" x14ac:dyDescent="0.35">
      <c r="A267" t="s">
        <v>539</v>
      </c>
      <c r="B267" t="s">
        <v>540</v>
      </c>
      <c r="C267">
        <v>2024</v>
      </c>
      <c r="D267" t="s">
        <v>43</v>
      </c>
      <c r="E267" t="s">
        <v>26</v>
      </c>
      <c r="F267" t="s">
        <v>44</v>
      </c>
      <c r="G267" t="s">
        <v>40</v>
      </c>
      <c r="H267">
        <v>2465.0500000000002</v>
      </c>
      <c r="I267">
        <v>2559.7199999999998</v>
      </c>
      <c r="J267" t="s">
        <v>34</v>
      </c>
      <c r="K267" t="s">
        <v>71</v>
      </c>
      <c r="L267">
        <v>62</v>
      </c>
      <c r="M267">
        <v>5</v>
      </c>
      <c r="N267" t="s">
        <v>22</v>
      </c>
    </row>
    <row r="268" spans="1:14" x14ac:dyDescent="0.35">
      <c r="A268" t="s">
        <v>541</v>
      </c>
      <c r="B268" t="s">
        <v>542</v>
      </c>
      <c r="C268">
        <v>2023</v>
      </c>
      <c r="D268" t="s">
        <v>67</v>
      </c>
      <c r="E268" t="s">
        <v>38</v>
      </c>
      <c r="F268" t="s">
        <v>18</v>
      </c>
      <c r="G268" t="s">
        <v>40</v>
      </c>
      <c r="H268">
        <v>722.98</v>
      </c>
      <c r="I268">
        <v>753.37</v>
      </c>
      <c r="J268" t="s">
        <v>20</v>
      </c>
      <c r="K268" t="s">
        <v>77</v>
      </c>
      <c r="L268">
        <v>39</v>
      </c>
      <c r="M268">
        <v>3</v>
      </c>
      <c r="N268" t="s">
        <v>22</v>
      </c>
    </row>
    <row r="269" spans="1:14" x14ac:dyDescent="0.35">
      <c r="A269" t="s">
        <v>543</v>
      </c>
      <c r="B269" t="s">
        <v>544</v>
      </c>
      <c r="C269">
        <v>2024</v>
      </c>
      <c r="D269" t="s">
        <v>52</v>
      </c>
      <c r="E269" t="s">
        <v>63</v>
      </c>
      <c r="F269" t="s">
        <v>39</v>
      </c>
      <c r="G269" t="s">
        <v>19</v>
      </c>
      <c r="H269">
        <v>1904.87</v>
      </c>
      <c r="I269">
        <v>2156.06</v>
      </c>
      <c r="J269" t="s">
        <v>88</v>
      </c>
      <c r="K269" t="s">
        <v>45</v>
      </c>
      <c r="L269">
        <v>23</v>
      </c>
      <c r="M269">
        <v>4</v>
      </c>
      <c r="N269" t="s">
        <v>22</v>
      </c>
    </row>
    <row r="270" spans="1:14" x14ac:dyDescent="0.35">
      <c r="A270" t="s">
        <v>545</v>
      </c>
      <c r="B270" t="s">
        <v>546</v>
      </c>
      <c r="C270">
        <v>2023</v>
      </c>
      <c r="D270" t="s">
        <v>37</v>
      </c>
      <c r="E270" t="s">
        <v>63</v>
      </c>
      <c r="F270" t="s">
        <v>18</v>
      </c>
      <c r="G270" t="s">
        <v>49</v>
      </c>
      <c r="H270">
        <v>1367.6</v>
      </c>
      <c r="I270">
        <v>993.51</v>
      </c>
      <c r="J270" t="s">
        <v>34</v>
      </c>
      <c r="K270" t="s">
        <v>77</v>
      </c>
      <c r="L270">
        <v>42</v>
      </c>
      <c r="M270">
        <v>3</v>
      </c>
      <c r="N270" t="s">
        <v>22</v>
      </c>
    </row>
    <row r="271" spans="1:14" x14ac:dyDescent="0.35">
      <c r="A271" t="s">
        <v>547</v>
      </c>
      <c r="B271" t="s">
        <v>261</v>
      </c>
      <c r="C271">
        <v>2023</v>
      </c>
      <c r="D271" t="s">
        <v>43</v>
      </c>
      <c r="E271" t="s">
        <v>38</v>
      </c>
      <c r="F271" t="s">
        <v>44</v>
      </c>
      <c r="G271" t="s">
        <v>40</v>
      </c>
      <c r="H271">
        <v>761.64</v>
      </c>
      <c r="I271">
        <v>0</v>
      </c>
      <c r="J271" t="s">
        <v>28</v>
      </c>
      <c r="K271" t="s">
        <v>82</v>
      </c>
      <c r="L271">
        <v>34</v>
      </c>
      <c r="M271">
        <v>10</v>
      </c>
      <c r="N271" t="s">
        <v>30</v>
      </c>
    </row>
    <row r="272" spans="1:14" x14ac:dyDescent="0.35">
      <c r="A272" t="s">
        <v>548</v>
      </c>
      <c r="B272" t="s">
        <v>549</v>
      </c>
      <c r="C272">
        <v>2023</v>
      </c>
      <c r="D272" t="s">
        <v>85</v>
      </c>
      <c r="E272" t="s">
        <v>38</v>
      </c>
      <c r="F272" t="s">
        <v>18</v>
      </c>
      <c r="G272" t="s">
        <v>19</v>
      </c>
      <c r="H272">
        <v>1015.9</v>
      </c>
      <c r="I272">
        <v>1147.56</v>
      </c>
      <c r="J272" t="s">
        <v>34</v>
      </c>
      <c r="K272" t="s">
        <v>82</v>
      </c>
      <c r="L272">
        <v>64</v>
      </c>
      <c r="M272">
        <v>2</v>
      </c>
      <c r="N272" t="s">
        <v>22</v>
      </c>
    </row>
    <row r="273" spans="1:14" x14ac:dyDescent="0.35">
      <c r="A273" t="s">
        <v>550</v>
      </c>
      <c r="B273" t="s">
        <v>551</v>
      </c>
      <c r="C273">
        <v>2024</v>
      </c>
      <c r="D273" t="s">
        <v>37</v>
      </c>
      <c r="E273" t="s">
        <v>38</v>
      </c>
      <c r="F273" t="s">
        <v>68</v>
      </c>
      <c r="G273" t="s">
        <v>40</v>
      </c>
      <c r="H273">
        <v>727.26</v>
      </c>
      <c r="I273">
        <v>703.77</v>
      </c>
      <c r="J273" t="s">
        <v>34</v>
      </c>
      <c r="K273" t="s">
        <v>64</v>
      </c>
      <c r="L273">
        <v>23</v>
      </c>
      <c r="M273">
        <v>12</v>
      </c>
      <c r="N273" t="s">
        <v>22</v>
      </c>
    </row>
    <row r="274" spans="1:14" x14ac:dyDescent="0.35">
      <c r="A274" t="s">
        <v>552</v>
      </c>
      <c r="B274" t="s">
        <v>553</v>
      </c>
      <c r="C274">
        <v>2024</v>
      </c>
      <c r="D274" t="s">
        <v>16</v>
      </c>
      <c r="E274" t="s">
        <v>38</v>
      </c>
      <c r="F274" t="s">
        <v>27</v>
      </c>
      <c r="G274" t="s">
        <v>49</v>
      </c>
      <c r="H274">
        <v>681.45</v>
      </c>
      <c r="I274">
        <v>586.89</v>
      </c>
      <c r="J274" t="s">
        <v>20</v>
      </c>
      <c r="K274" t="s">
        <v>71</v>
      </c>
      <c r="L274">
        <v>49</v>
      </c>
      <c r="M274">
        <v>9</v>
      </c>
      <c r="N274" t="s">
        <v>22</v>
      </c>
    </row>
    <row r="275" spans="1:14" x14ac:dyDescent="0.35">
      <c r="A275" t="s">
        <v>554</v>
      </c>
      <c r="B275" t="s">
        <v>555</v>
      </c>
      <c r="C275">
        <v>2024</v>
      </c>
      <c r="D275" t="s">
        <v>67</v>
      </c>
      <c r="E275" t="s">
        <v>63</v>
      </c>
      <c r="F275" t="s">
        <v>27</v>
      </c>
      <c r="G275" t="s">
        <v>49</v>
      </c>
      <c r="H275">
        <v>1176.1400000000001</v>
      </c>
      <c r="I275">
        <v>0</v>
      </c>
      <c r="J275" t="s">
        <v>28</v>
      </c>
      <c r="K275" t="s">
        <v>57</v>
      </c>
      <c r="L275">
        <v>23</v>
      </c>
      <c r="M275">
        <v>8</v>
      </c>
      <c r="N275" t="s">
        <v>30</v>
      </c>
    </row>
    <row r="276" spans="1:14" x14ac:dyDescent="0.35">
      <c r="A276" t="s">
        <v>556</v>
      </c>
      <c r="B276" t="s">
        <v>429</v>
      </c>
      <c r="C276">
        <v>2024</v>
      </c>
      <c r="D276" t="s">
        <v>60</v>
      </c>
      <c r="E276" t="s">
        <v>26</v>
      </c>
      <c r="F276" t="s">
        <v>68</v>
      </c>
      <c r="G276" t="s">
        <v>19</v>
      </c>
      <c r="H276">
        <v>3236.79</v>
      </c>
      <c r="I276">
        <v>3605.51</v>
      </c>
      <c r="J276" t="s">
        <v>34</v>
      </c>
      <c r="K276" t="s">
        <v>71</v>
      </c>
      <c r="L276">
        <v>44</v>
      </c>
      <c r="M276">
        <v>8</v>
      </c>
      <c r="N276" t="s">
        <v>22</v>
      </c>
    </row>
    <row r="277" spans="1:14" x14ac:dyDescent="0.35">
      <c r="A277" t="s">
        <v>557</v>
      </c>
      <c r="B277" t="s">
        <v>558</v>
      </c>
      <c r="C277">
        <v>2024</v>
      </c>
      <c r="D277" t="s">
        <v>67</v>
      </c>
      <c r="E277" t="s">
        <v>17</v>
      </c>
      <c r="F277" t="s">
        <v>18</v>
      </c>
      <c r="G277" t="s">
        <v>40</v>
      </c>
      <c r="H277">
        <v>2099.33</v>
      </c>
      <c r="I277">
        <v>2185.6999999999998</v>
      </c>
      <c r="J277" t="s">
        <v>20</v>
      </c>
      <c r="K277" t="s">
        <v>82</v>
      </c>
      <c r="L277">
        <v>35</v>
      </c>
      <c r="M277">
        <v>9</v>
      </c>
      <c r="N277" t="s">
        <v>22</v>
      </c>
    </row>
    <row r="278" spans="1:14" x14ac:dyDescent="0.35">
      <c r="A278" t="s">
        <v>559</v>
      </c>
      <c r="B278" t="s">
        <v>560</v>
      </c>
      <c r="C278">
        <v>2024</v>
      </c>
      <c r="D278" t="s">
        <v>25</v>
      </c>
      <c r="E278" t="s">
        <v>53</v>
      </c>
      <c r="F278" t="s">
        <v>18</v>
      </c>
      <c r="G278" t="s">
        <v>19</v>
      </c>
      <c r="H278">
        <v>2308.4299999999998</v>
      </c>
      <c r="I278">
        <v>2610.85</v>
      </c>
      <c r="J278" t="s">
        <v>20</v>
      </c>
      <c r="K278" t="s">
        <v>57</v>
      </c>
      <c r="L278">
        <v>35</v>
      </c>
      <c r="M278">
        <v>12</v>
      </c>
      <c r="N278" t="s">
        <v>22</v>
      </c>
    </row>
    <row r="279" spans="1:14" x14ac:dyDescent="0.35">
      <c r="A279" t="s">
        <v>561</v>
      </c>
      <c r="B279" t="s">
        <v>562</v>
      </c>
      <c r="C279">
        <v>2024</v>
      </c>
      <c r="D279" t="s">
        <v>56</v>
      </c>
      <c r="E279" t="s">
        <v>17</v>
      </c>
      <c r="F279" t="s">
        <v>39</v>
      </c>
      <c r="G279" t="s">
        <v>49</v>
      </c>
      <c r="H279">
        <v>1542.02</v>
      </c>
      <c r="I279">
        <v>1275.55</v>
      </c>
      <c r="J279" t="s">
        <v>20</v>
      </c>
      <c r="K279" t="s">
        <v>82</v>
      </c>
      <c r="L279">
        <v>50</v>
      </c>
      <c r="M279">
        <v>6</v>
      </c>
      <c r="N279" t="s">
        <v>22</v>
      </c>
    </row>
    <row r="280" spans="1:14" x14ac:dyDescent="0.35">
      <c r="A280" t="s">
        <v>563</v>
      </c>
      <c r="B280" t="s">
        <v>310</v>
      </c>
      <c r="C280">
        <v>2023</v>
      </c>
      <c r="D280" t="s">
        <v>74</v>
      </c>
      <c r="E280" t="s">
        <v>17</v>
      </c>
      <c r="F280" t="s">
        <v>39</v>
      </c>
      <c r="G280" t="s">
        <v>40</v>
      </c>
      <c r="H280">
        <v>1978.62</v>
      </c>
      <c r="I280">
        <v>0</v>
      </c>
      <c r="J280" t="s">
        <v>28</v>
      </c>
      <c r="K280" t="s">
        <v>45</v>
      </c>
      <c r="L280">
        <v>52</v>
      </c>
      <c r="M280">
        <v>1</v>
      </c>
      <c r="N280" t="s">
        <v>30</v>
      </c>
    </row>
    <row r="281" spans="1:14" x14ac:dyDescent="0.35">
      <c r="A281" t="s">
        <v>564</v>
      </c>
      <c r="B281" t="s">
        <v>533</v>
      </c>
      <c r="C281">
        <v>2024</v>
      </c>
      <c r="D281" t="s">
        <v>85</v>
      </c>
      <c r="E281" t="s">
        <v>26</v>
      </c>
      <c r="F281" t="s">
        <v>44</v>
      </c>
      <c r="G281" t="s">
        <v>40</v>
      </c>
      <c r="H281">
        <v>2536.02</v>
      </c>
      <c r="I281">
        <v>2183.4699999999998</v>
      </c>
      <c r="J281" t="s">
        <v>34</v>
      </c>
      <c r="K281" t="s">
        <v>45</v>
      </c>
      <c r="L281">
        <v>57</v>
      </c>
      <c r="M281">
        <v>5</v>
      </c>
      <c r="N281" t="s">
        <v>22</v>
      </c>
    </row>
    <row r="282" spans="1:14" x14ac:dyDescent="0.35">
      <c r="A282" t="s">
        <v>565</v>
      </c>
      <c r="B282" t="s">
        <v>439</v>
      </c>
      <c r="C282">
        <v>2023</v>
      </c>
      <c r="D282" t="s">
        <v>43</v>
      </c>
      <c r="E282" t="s">
        <v>53</v>
      </c>
      <c r="F282" t="s">
        <v>68</v>
      </c>
      <c r="G282" t="s">
        <v>19</v>
      </c>
      <c r="H282">
        <v>2572.9899999999998</v>
      </c>
      <c r="I282">
        <v>2878.02</v>
      </c>
      <c r="J282" t="s">
        <v>34</v>
      </c>
      <c r="K282" t="s">
        <v>29</v>
      </c>
      <c r="L282">
        <v>62</v>
      </c>
      <c r="M282">
        <v>2</v>
      </c>
      <c r="N282" t="s">
        <v>22</v>
      </c>
    </row>
    <row r="283" spans="1:14" x14ac:dyDescent="0.35">
      <c r="A283" t="s">
        <v>566</v>
      </c>
      <c r="B283" t="s">
        <v>567</v>
      </c>
      <c r="C283">
        <v>2024</v>
      </c>
      <c r="D283" t="s">
        <v>52</v>
      </c>
      <c r="E283" t="s">
        <v>38</v>
      </c>
      <c r="F283" t="s">
        <v>39</v>
      </c>
      <c r="G283" t="s">
        <v>49</v>
      </c>
      <c r="H283">
        <v>714.08</v>
      </c>
      <c r="I283">
        <v>599.35</v>
      </c>
      <c r="J283" t="s">
        <v>34</v>
      </c>
      <c r="K283" t="s">
        <v>64</v>
      </c>
      <c r="L283">
        <v>25</v>
      </c>
      <c r="M283">
        <v>8</v>
      </c>
      <c r="N283" t="s">
        <v>22</v>
      </c>
    </row>
    <row r="284" spans="1:14" x14ac:dyDescent="0.35">
      <c r="A284" t="s">
        <v>568</v>
      </c>
      <c r="B284" t="s">
        <v>569</v>
      </c>
      <c r="C284">
        <v>2024</v>
      </c>
      <c r="D284" t="s">
        <v>43</v>
      </c>
      <c r="E284" t="s">
        <v>17</v>
      </c>
      <c r="F284" t="s">
        <v>39</v>
      </c>
      <c r="G284" t="s">
        <v>49</v>
      </c>
      <c r="H284">
        <v>1623.59</v>
      </c>
      <c r="I284">
        <v>0</v>
      </c>
      <c r="J284" t="s">
        <v>28</v>
      </c>
      <c r="K284" t="s">
        <v>45</v>
      </c>
      <c r="L284">
        <v>37</v>
      </c>
      <c r="M284">
        <v>6</v>
      </c>
      <c r="N284" t="s">
        <v>30</v>
      </c>
    </row>
    <row r="285" spans="1:14" x14ac:dyDescent="0.35">
      <c r="A285" t="s">
        <v>570</v>
      </c>
      <c r="B285" t="s">
        <v>571</v>
      </c>
      <c r="C285">
        <v>2024</v>
      </c>
      <c r="D285" t="s">
        <v>33</v>
      </c>
      <c r="E285" t="s">
        <v>53</v>
      </c>
      <c r="F285" t="s">
        <v>44</v>
      </c>
      <c r="G285" t="s">
        <v>19</v>
      </c>
      <c r="H285">
        <v>2259.33</v>
      </c>
      <c r="I285">
        <v>2471.9499999999998</v>
      </c>
      <c r="J285" t="s">
        <v>34</v>
      </c>
      <c r="K285" t="s">
        <v>45</v>
      </c>
      <c r="L285">
        <v>39</v>
      </c>
      <c r="M285">
        <v>10</v>
      </c>
      <c r="N285" t="s">
        <v>22</v>
      </c>
    </row>
    <row r="286" spans="1:14" x14ac:dyDescent="0.35">
      <c r="A286" t="s">
        <v>572</v>
      </c>
      <c r="B286" t="s">
        <v>573</v>
      </c>
      <c r="C286">
        <v>2023</v>
      </c>
      <c r="D286" t="s">
        <v>74</v>
      </c>
      <c r="E286" t="s">
        <v>53</v>
      </c>
      <c r="F286" t="s">
        <v>18</v>
      </c>
      <c r="G286" t="s">
        <v>19</v>
      </c>
      <c r="H286">
        <v>2355.34</v>
      </c>
      <c r="I286">
        <v>2565.0700000000002</v>
      </c>
      <c r="J286" t="s">
        <v>34</v>
      </c>
      <c r="K286" t="s">
        <v>77</v>
      </c>
      <c r="L286">
        <v>32</v>
      </c>
      <c r="M286">
        <v>12</v>
      </c>
      <c r="N286" t="s">
        <v>22</v>
      </c>
    </row>
    <row r="287" spans="1:14" x14ac:dyDescent="0.35">
      <c r="A287" t="s">
        <v>574</v>
      </c>
      <c r="B287" t="s">
        <v>116</v>
      </c>
      <c r="C287">
        <v>2023</v>
      </c>
      <c r="D287" t="s">
        <v>43</v>
      </c>
      <c r="E287" t="s">
        <v>17</v>
      </c>
      <c r="F287" t="s">
        <v>18</v>
      </c>
      <c r="G287" t="s">
        <v>19</v>
      </c>
      <c r="H287">
        <v>2768.59</v>
      </c>
      <c r="I287">
        <v>2914.6</v>
      </c>
      <c r="J287" t="s">
        <v>20</v>
      </c>
      <c r="K287" t="s">
        <v>71</v>
      </c>
      <c r="L287">
        <v>62</v>
      </c>
      <c r="M287">
        <v>10</v>
      </c>
      <c r="N287" t="s">
        <v>22</v>
      </c>
    </row>
    <row r="288" spans="1:14" x14ac:dyDescent="0.35">
      <c r="A288" t="s">
        <v>575</v>
      </c>
      <c r="B288" t="s">
        <v>576</v>
      </c>
      <c r="C288">
        <v>2024</v>
      </c>
      <c r="D288" t="s">
        <v>48</v>
      </c>
      <c r="E288" t="s">
        <v>17</v>
      </c>
      <c r="F288" t="s">
        <v>68</v>
      </c>
      <c r="G288" t="s">
        <v>19</v>
      </c>
      <c r="H288">
        <v>2607.25</v>
      </c>
      <c r="I288">
        <v>0</v>
      </c>
      <c r="J288" t="s">
        <v>28</v>
      </c>
      <c r="K288" t="s">
        <v>45</v>
      </c>
      <c r="L288">
        <v>31</v>
      </c>
      <c r="M288">
        <v>12</v>
      </c>
      <c r="N288" t="s">
        <v>30</v>
      </c>
    </row>
    <row r="289" spans="1:14" x14ac:dyDescent="0.35">
      <c r="A289" t="s">
        <v>577</v>
      </c>
      <c r="B289" t="s">
        <v>578</v>
      </c>
      <c r="C289">
        <v>2024</v>
      </c>
      <c r="D289" t="s">
        <v>16</v>
      </c>
      <c r="E289" t="s">
        <v>26</v>
      </c>
      <c r="F289" t="s">
        <v>27</v>
      </c>
      <c r="G289" t="s">
        <v>19</v>
      </c>
      <c r="H289">
        <v>3187.46</v>
      </c>
      <c r="I289">
        <v>3689.85</v>
      </c>
      <c r="J289" t="s">
        <v>34</v>
      </c>
      <c r="K289" t="s">
        <v>29</v>
      </c>
      <c r="L289">
        <v>63</v>
      </c>
      <c r="M289">
        <v>12</v>
      </c>
      <c r="N289" t="s">
        <v>22</v>
      </c>
    </row>
    <row r="290" spans="1:14" x14ac:dyDescent="0.35">
      <c r="A290" t="s">
        <v>579</v>
      </c>
      <c r="B290" t="s">
        <v>580</v>
      </c>
      <c r="C290">
        <v>2024</v>
      </c>
      <c r="D290" t="s">
        <v>43</v>
      </c>
      <c r="E290" t="s">
        <v>53</v>
      </c>
      <c r="F290" t="s">
        <v>18</v>
      </c>
      <c r="G290" t="s">
        <v>40</v>
      </c>
      <c r="H290">
        <v>1829.52</v>
      </c>
      <c r="I290">
        <v>0</v>
      </c>
      <c r="J290" t="s">
        <v>28</v>
      </c>
      <c r="K290" t="s">
        <v>64</v>
      </c>
      <c r="L290">
        <v>43</v>
      </c>
      <c r="M290">
        <v>7</v>
      </c>
      <c r="N290" t="s">
        <v>30</v>
      </c>
    </row>
    <row r="291" spans="1:14" x14ac:dyDescent="0.35">
      <c r="A291" t="s">
        <v>581</v>
      </c>
      <c r="B291" t="s">
        <v>582</v>
      </c>
      <c r="C291">
        <v>2023</v>
      </c>
      <c r="D291" t="s">
        <v>25</v>
      </c>
      <c r="E291" t="s">
        <v>26</v>
      </c>
      <c r="F291" t="s">
        <v>18</v>
      </c>
      <c r="G291" t="s">
        <v>49</v>
      </c>
      <c r="H291">
        <v>1891.77</v>
      </c>
      <c r="I291">
        <v>0</v>
      </c>
      <c r="J291" t="s">
        <v>28</v>
      </c>
      <c r="K291" t="s">
        <v>71</v>
      </c>
      <c r="L291">
        <v>38</v>
      </c>
      <c r="M291">
        <v>5</v>
      </c>
      <c r="N291" t="s">
        <v>30</v>
      </c>
    </row>
    <row r="292" spans="1:14" x14ac:dyDescent="0.35">
      <c r="A292" t="s">
        <v>583</v>
      </c>
      <c r="B292" t="s">
        <v>239</v>
      </c>
      <c r="C292">
        <v>2023</v>
      </c>
      <c r="D292" t="s">
        <v>43</v>
      </c>
      <c r="E292" t="s">
        <v>38</v>
      </c>
      <c r="F292" t="s">
        <v>27</v>
      </c>
      <c r="G292" t="s">
        <v>19</v>
      </c>
      <c r="H292">
        <v>1116.1400000000001</v>
      </c>
      <c r="I292">
        <v>0</v>
      </c>
      <c r="J292" t="s">
        <v>28</v>
      </c>
      <c r="K292" t="s">
        <v>77</v>
      </c>
      <c r="L292">
        <v>67</v>
      </c>
      <c r="M292">
        <v>10</v>
      </c>
      <c r="N292" t="s">
        <v>30</v>
      </c>
    </row>
    <row r="293" spans="1:14" x14ac:dyDescent="0.35">
      <c r="A293" t="s">
        <v>584</v>
      </c>
      <c r="B293" t="s">
        <v>32</v>
      </c>
      <c r="C293">
        <v>2023</v>
      </c>
      <c r="D293" t="s">
        <v>33</v>
      </c>
      <c r="E293" t="s">
        <v>17</v>
      </c>
      <c r="F293" t="s">
        <v>27</v>
      </c>
      <c r="G293" t="s">
        <v>40</v>
      </c>
      <c r="H293">
        <v>2039.62</v>
      </c>
      <c r="I293">
        <v>1891.7</v>
      </c>
      <c r="J293" t="s">
        <v>34</v>
      </c>
      <c r="K293" t="s">
        <v>64</v>
      </c>
      <c r="L293">
        <v>66</v>
      </c>
      <c r="M293">
        <v>12</v>
      </c>
      <c r="N293" t="s">
        <v>22</v>
      </c>
    </row>
    <row r="294" spans="1:14" x14ac:dyDescent="0.35">
      <c r="A294" t="s">
        <v>585</v>
      </c>
      <c r="B294" t="s">
        <v>586</v>
      </c>
      <c r="C294">
        <v>2024</v>
      </c>
      <c r="D294" t="s">
        <v>67</v>
      </c>
      <c r="E294" t="s">
        <v>63</v>
      </c>
      <c r="F294" t="s">
        <v>68</v>
      </c>
      <c r="G294" t="s">
        <v>40</v>
      </c>
      <c r="H294">
        <v>1455.46</v>
      </c>
      <c r="I294">
        <v>1311.73</v>
      </c>
      <c r="J294" t="s">
        <v>34</v>
      </c>
      <c r="K294" t="s">
        <v>64</v>
      </c>
      <c r="L294">
        <v>57</v>
      </c>
      <c r="M294">
        <v>8</v>
      </c>
      <c r="N294" t="s">
        <v>22</v>
      </c>
    </row>
    <row r="295" spans="1:14" x14ac:dyDescent="0.35">
      <c r="A295" t="s">
        <v>587</v>
      </c>
      <c r="B295" t="s">
        <v>588</v>
      </c>
      <c r="C295">
        <v>2023</v>
      </c>
      <c r="D295" t="s">
        <v>33</v>
      </c>
      <c r="E295" t="s">
        <v>63</v>
      </c>
      <c r="F295" t="s">
        <v>68</v>
      </c>
      <c r="G295" t="s">
        <v>19</v>
      </c>
      <c r="H295">
        <v>1889.36</v>
      </c>
      <c r="I295">
        <v>0</v>
      </c>
      <c r="J295" t="s">
        <v>28</v>
      </c>
      <c r="K295" t="s">
        <v>71</v>
      </c>
      <c r="L295">
        <v>52</v>
      </c>
      <c r="M295">
        <v>12</v>
      </c>
      <c r="N295" t="s">
        <v>30</v>
      </c>
    </row>
    <row r="296" spans="1:14" x14ac:dyDescent="0.35">
      <c r="A296" t="s">
        <v>589</v>
      </c>
      <c r="B296" t="s">
        <v>590</v>
      </c>
      <c r="C296">
        <v>2023</v>
      </c>
      <c r="D296" t="s">
        <v>33</v>
      </c>
      <c r="E296" t="s">
        <v>63</v>
      </c>
      <c r="F296" t="s">
        <v>44</v>
      </c>
      <c r="G296" t="s">
        <v>40</v>
      </c>
      <c r="H296">
        <v>1546.79</v>
      </c>
      <c r="I296">
        <v>1458.87</v>
      </c>
      <c r="J296" t="s">
        <v>34</v>
      </c>
      <c r="K296" t="s">
        <v>77</v>
      </c>
      <c r="L296">
        <v>43</v>
      </c>
      <c r="M296">
        <v>10</v>
      </c>
      <c r="N296" t="s">
        <v>22</v>
      </c>
    </row>
    <row r="297" spans="1:14" x14ac:dyDescent="0.35">
      <c r="A297" t="s">
        <v>591</v>
      </c>
      <c r="B297" t="s">
        <v>592</v>
      </c>
      <c r="C297">
        <v>2024</v>
      </c>
      <c r="D297" t="s">
        <v>52</v>
      </c>
      <c r="E297" t="s">
        <v>26</v>
      </c>
      <c r="F297" t="s">
        <v>27</v>
      </c>
      <c r="G297" t="s">
        <v>40</v>
      </c>
      <c r="H297">
        <v>2246.5</v>
      </c>
      <c r="I297">
        <v>2295.7399999999998</v>
      </c>
      <c r="J297" t="s">
        <v>34</v>
      </c>
      <c r="K297" t="s">
        <v>77</v>
      </c>
      <c r="L297">
        <v>48</v>
      </c>
      <c r="M297">
        <v>6</v>
      </c>
      <c r="N297" t="s">
        <v>22</v>
      </c>
    </row>
    <row r="298" spans="1:14" x14ac:dyDescent="0.35">
      <c r="A298" t="s">
        <v>593</v>
      </c>
      <c r="B298" t="s">
        <v>594</v>
      </c>
      <c r="C298">
        <v>2023</v>
      </c>
      <c r="D298" t="s">
        <v>16</v>
      </c>
      <c r="E298" t="s">
        <v>38</v>
      </c>
      <c r="F298" t="s">
        <v>27</v>
      </c>
      <c r="G298" t="s">
        <v>19</v>
      </c>
      <c r="H298">
        <v>1012.62</v>
      </c>
      <c r="I298">
        <v>0</v>
      </c>
      <c r="J298" t="s">
        <v>28</v>
      </c>
      <c r="K298" t="s">
        <v>21</v>
      </c>
      <c r="L298">
        <v>45</v>
      </c>
      <c r="M298">
        <v>3</v>
      </c>
      <c r="N298" t="s">
        <v>30</v>
      </c>
    </row>
    <row r="299" spans="1:14" x14ac:dyDescent="0.35">
      <c r="A299" t="s">
        <v>595</v>
      </c>
      <c r="B299" t="s">
        <v>193</v>
      </c>
      <c r="C299">
        <v>2023</v>
      </c>
      <c r="D299" t="s">
        <v>25</v>
      </c>
      <c r="E299" t="s">
        <v>17</v>
      </c>
      <c r="F299" t="s">
        <v>18</v>
      </c>
      <c r="G299" t="s">
        <v>19</v>
      </c>
      <c r="H299">
        <v>2612.48</v>
      </c>
      <c r="I299">
        <v>2634.21</v>
      </c>
      <c r="J299" t="s">
        <v>34</v>
      </c>
      <c r="K299" t="s">
        <v>45</v>
      </c>
      <c r="L299">
        <v>54</v>
      </c>
      <c r="M299">
        <v>11</v>
      </c>
      <c r="N299" t="s">
        <v>22</v>
      </c>
    </row>
    <row r="300" spans="1:14" x14ac:dyDescent="0.35">
      <c r="A300" t="s">
        <v>596</v>
      </c>
      <c r="B300" t="s">
        <v>597</v>
      </c>
      <c r="C300">
        <v>2024</v>
      </c>
      <c r="D300" t="s">
        <v>43</v>
      </c>
      <c r="E300" t="s">
        <v>17</v>
      </c>
      <c r="F300" t="s">
        <v>27</v>
      </c>
      <c r="G300" t="s">
        <v>40</v>
      </c>
      <c r="H300">
        <v>2160.13</v>
      </c>
      <c r="I300">
        <v>0</v>
      </c>
      <c r="J300" t="s">
        <v>28</v>
      </c>
      <c r="K300" t="s">
        <v>57</v>
      </c>
      <c r="L300">
        <v>61</v>
      </c>
      <c r="M300">
        <v>8</v>
      </c>
      <c r="N300" t="s">
        <v>30</v>
      </c>
    </row>
    <row r="301" spans="1:14" x14ac:dyDescent="0.35">
      <c r="A301" t="s">
        <v>598</v>
      </c>
      <c r="B301" t="s">
        <v>599</v>
      </c>
      <c r="C301">
        <v>2024</v>
      </c>
      <c r="D301" t="s">
        <v>74</v>
      </c>
      <c r="E301" t="s">
        <v>17</v>
      </c>
      <c r="F301" t="s">
        <v>39</v>
      </c>
      <c r="G301" t="s">
        <v>40</v>
      </c>
      <c r="H301">
        <v>2075.4899999999998</v>
      </c>
      <c r="I301">
        <v>1984.26</v>
      </c>
      <c r="J301" t="s">
        <v>34</v>
      </c>
      <c r="K301" t="s">
        <v>45</v>
      </c>
      <c r="L301">
        <v>50</v>
      </c>
      <c r="M301">
        <v>1</v>
      </c>
      <c r="N301" t="s">
        <v>22</v>
      </c>
    </row>
    <row r="302" spans="1:14" x14ac:dyDescent="0.35">
      <c r="A302" t="s">
        <v>600</v>
      </c>
      <c r="B302" t="s">
        <v>499</v>
      </c>
      <c r="C302">
        <v>2024</v>
      </c>
      <c r="D302" t="s">
        <v>67</v>
      </c>
      <c r="E302" t="s">
        <v>63</v>
      </c>
      <c r="F302" t="s">
        <v>39</v>
      </c>
      <c r="G302" t="s">
        <v>49</v>
      </c>
      <c r="H302">
        <v>1212.1199999999999</v>
      </c>
      <c r="I302">
        <v>1028.3800000000001</v>
      </c>
      <c r="J302" t="s">
        <v>34</v>
      </c>
      <c r="K302" t="s">
        <v>45</v>
      </c>
      <c r="L302">
        <v>55</v>
      </c>
      <c r="M302">
        <v>10</v>
      </c>
      <c r="N302" t="s">
        <v>22</v>
      </c>
    </row>
    <row r="303" spans="1:14" x14ac:dyDescent="0.35">
      <c r="A303" t="s">
        <v>601</v>
      </c>
      <c r="B303" t="s">
        <v>602</v>
      </c>
      <c r="C303">
        <v>2024</v>
      </c>
      <c r="D303" t="s">
        <v>74</v>
      </c>
      <c r="E303" t="s">
        <v>53</v>
      </c>
      <c r="F303" t="s">
        <v>27</v>
      </c>
      <c r="G303" t="s">
        <v>40</v>
      </c>
      <c r="H303">
        <v>1943.49</v>
      </c>
      <c r="I303">
        <v>0</v>
      </c>
      <c r="J303" t="s">
        <v>28</v>
      </c>
      <c r="K303" t="s">
        <v>64</v>
      </c>
      <c r="L303">
        <v>35</v>
      </c>
      <c r="M303">
        <v>9</v>
      </c>
      <c r="N303" t="s">
        <v>30</v>
      </c>
    </row>
    <row r="304" spans="1:14" x14ac:dyDescent="0.35">
      <c r="A304" t="s">
        <v>603</v>
      </c>
      <c r="B304" t="s">
        <v>604</v>
      </c>
      <c r="C304">
        <v>2024</v>
      </c>
      <c r="D304" t="s">
        <v>37</v>
      </c>
      <c r="E304" t="s">
        <v>63</v>
      </c>
      <c r="F304" t="s">
        <v>68</v>
      </c>
      <c r="G304" t="s">
        <v>49</v>
      </c>
      <c r="H304">
        <v>1192.98</v>
      </c>
      <c r="I304">
        <v>0</v>
      </c>
      <c r="J304" t="s">
        <v>28</v>
      </c>
      <c r="K304" t="s">
        <v>77</v>
      </c>
      <c r="L304">
        <v>30</v>
      </c>
      <c r="M304">
        <v>12</v>
      </c>
      <c r="N304" t="s">
        <v>30</v>
      </c>
    </row>
    <row r="305" spans="1:14" x14ac:dyDescent="0.35">
      <c r="A305" t="s">
        <v>605</v>
      </c>
      <c r="B305" t="s">
        <v>606</v>
      </c>
      <c r="C305">
        <v>2024</v>
      </c>
      <c r="D305" t="s">
        <v>48</v>
      </c>
      <c r="E305" t="s">
        <v>53</v>
      </c>
      <c r="F305" t="s">
        <v>18</v>
      </c>
      <c r="G305" t="s">
        <v>19</v>
      </c>
      <c r="H305">
        <v>2302.38</v>
      </c>
      <c r="I305">
        <v>0</v>
      </c>
      <c r="J305" t="s">
        <v>28</v>
      </c>
      <c r="K305" t="s">
        <v>71</v>
      </c>
      <c r="L305">
        <v>40</v>
      </c>
      <c r="M305">
        <v>5</v>
      </c>
      <c r="N305" t="s">
        <v>30</v>
      </c>
    </row>
    <row r="306" spans="1:14" x14ac:dyDescent="0.35">
      <c r="A306" t="s">
        <v>607</v>
      </c>
      <c r="B306" t="s">
        <v>594</v>
      </c>
      <c r="C306">
        <v>2023</v>
      </c>
      <c r="D306" t="s">
        <v>16</v>
      </c>
      <c r="E306" t="s">
        <v>38</v>
      </c>
      <c r="F306" t="s">
        <v>39</v>
      </c>
      <c r="G306" t="s">
        <v>19</v>
      </c>
      <c r="H306">
        <v>1017.26</v>
      </c>
      <c r="I306">
        <v>0</v>
      </c>
      <c r="J306" t="s">
        <v>28</v>
      </c>
      <c r="K306" t="s">
        <v>21</v>
      </c>
      <c r="L306">
        <v>68</v>
      </c>
      <c r="M306">
        <v>2</v>
      </c>
      <c r="N306" t="s">
        <v>30</v>
      </c>
    </row>
    <row r="307" spans="1:14" x14ac:dyDescent="0.35">
      <c r="A307" t="s">
        <v>608</v>
      </c>
      <c r="B307" t="s">
        <v>189</v>
      </c>
      <c r="C307">
        <v>2023</v>
      </c>
      <c r="D307" t="s">
        <v>16</v>
      </c>
      <c r="E307" t="s">
        <v>26</v>
      </c>
      <c r="F307" t="s">
        <v>44</v>
      </c>
      <c r="G307" t="s">
        <v>19</v>
      </c>
      <c r="H307">
        <v>3143.15</v>
      </c>
      <c r="I307">
        <v>0</v>
      </c>
      <c r="J307" t="s">
        <v>28</v>
      </c>
      <c r="K307" t="s">
        <v>29</v>
      </c>
      <c r="L307">
        <v>30</v>
      </c>
      <c r="M307">
        <v>4</v>
      </c>
      <c r="N307" t="s">
        <v>30</v>
      </c>
    </row>
    <row r="308" spans="1:14" x14ac:dyDescent="0.35">
      <c r="A308" t="s">
        <v>609</v>
      </c>
      <c r="B308" t="s">
        <v>610</v>
      </c>
      <c r="C308">
        <v>2024</v>
      </c>
      <c r="D308" t="s">
        <v>25</v>
      </c>
      <c r="E308" t="s">
        <v>63</v>
      </c>
      <c r="F308" t="s">
        <v>39</v>
      </c>
      <c r="G308" t="s">
        <v>19</v>
      </c>
      <c r="H308">
        <v>1897.19</v>
      </c>
      <c r="I308">
        <v>2206.44</v>
      </c>
      <c r="J308" t="s">
        <v>34</v>
      </c>
      <c r="K308" t="s">
        <v>71</v>
      </c>
      <c r="L308">
        <v>36</v>
      </c>
      <c r="M308">
        <v>4</v>
      </c>
      <c r="N308" t="s">
        <v>22</v>
      </c>
    </row>
    <row r="309" spans="1:14" x14ac:dyDescent="0.35">
      <c r="A309" t="s">
        <v>611</v>
      </c>
      <c r="B309" t="s">
        <v>612</v>
      </c>
      <c r="C309">
        <v>2023</v>
      </c>
      <c r="D309" t="s">
        <v>52</v>
      </c>
      <c r="E309" t="s">
        <v>63</v>
      </c>
      <c r="F309" t="s">
        <v>68</v>
      </c>
      <c r="G309" t="s">
        <v>49</v>
      </c>
      <c r="H309">
        <v>1354.7</v>
      </c>
      <c r="I309">
        <v>0</v>
      </c>
      <c r="J309" t="s">
        <v>28</v>
      </c>
      <c r="K309" t="s">
        <v>71</v>
      </c>
      <c r="L309">
        <v>36</v>
      </c>
      <c r="M309">
        <v>8</v>
      </c>
      <c r="N309" t="s">
        <v>30</v>
      </c>
    </row>
    <row r="310" spans="1:14" x14ac:dyDescent="0.35">
      <c r="A310" t="s">
        <v>613</v>
      </c>
      <c r="B310" t="s">
        <v>614</v>
      </c>
      <c r="C310">
        <v>2024</v>
      </c>
      <c r="D310" t="s">
        <v>60</v>
      </c>
      <c r="E310" t="s">
        <v>63</v>
      </c>
      <c r="F310" t="s">
        <v>68</v>
      </c>
      <c r="G310" t="s">
        <v>40</v>
      </c>
      <c r="H310">
        <v>1614.42</v>
      </c>
      <c r="I310">
        <v>1644.85</v>
      </c>
      <c r="J310" t="s">
        <v>34</v>
      </c>
      <c r="K310" t="s">
        <v>29</v>
      </c>
      <c r="L310">
        <v>69</v>
      </c>
      <c r="M310">
        <v>8</v>
      </c>
      <c r="N310" t="s">
        <v>22</v>
      </c>
    </row>
    <row r="311" spans="1:14" x14ac:dyDescent="0.35">
      <c r="A311" t="s">
        <v>615</v>
      </c>
      <c r="B311" t="s">
        <v>616</v>
      </c>
      <c r="C311">
        <v>2024</v>
      </c>
      <c r="D311" t="s">
        <v>60</v>
      </c>
      <c r="E311" t="s">
        <v>17</v>
      </c>
      <c r="F311" t="s">
        <v>27</v>
      </c>
      <c r="G311" t="s">
        <v>49</v>
      </c>
      <c r="H311">
        <v>1755.06</v>
      </c>
      <c r="I311">
        <v>0</v>
      </c>
      <c r="J311" t="s">
        <v>28</v>
      </c>
      <c r="K311" t="s">
        <v>57</v>
      </c>
      <c r="L311">
        <v>67</v>
      </c>
      <c r="M311">
        <v>3</v>
      </c>
      <c r="N311" t="s">
        <v>30</v>
      </c>
    </row>
    <row r="312" spans="1:14" x14ac:dyDescent="0.35">
      <c r="A312" t="s">
        <v>617</v>
      </c>
      <c r="B312" t="s">
        <v>618</v>
      </c>
      <c r="C312">
        <v>2024</v>
      </c>
      <c r="D312" t="s">
        <v>56</v>
      </c>
      <c r="E312" t="s">
        <v>63</v>
      </c>
      <c r="F312" t="s">
        <v>27</v>
      </c>
      <c r="G312" t="s">
        <v>49</v>
      </c>
      <c r="H312">
        <v>1298.2</v>
      </c>
      <c r="I312">
        <v>0</v>
      </c>
      <c r="J312" t="s">
        <v>28</v>
      </c>
      <c r="K312" t="s">
        <v>45</v>
      </c>
      <c r="L312">
        <v>58</v>
      </c>
      <c r="M312">
        <v>10</v>
      </c>
      <c r="N312" t="s">
        <v>30</v>
      </c>
    </row>
    <row r="313" spans="1:14" x14ac:dyDescent="0.35">
      <c r="A313" t="s">
        <v>619</v>
      </c>
      <c r="B313" t="s">
        <v>620</v>
      </c>
      <c r="C313">
        <v>2024</v>
      </c>
      <c r="D313" t="s">
        <v>43</v>
      </c>
      <c r="E313" t="s">
        <v>17</v>
      </c>
      <c r="F313" t="s">
        <v>68</v>
      </c>
      <c r="G313" t="s">
        <v>40</v>
      </c>
      <c r="H313">
        <v>2040.57</v>
      </c>
      <c r="I313">
        <v>0</v>
      </c>
      <c r="J313" t="s">
        <v>28</v>
      </c>
      <c r="K313" t="s">
        <v>21</v>
      </c>
      <c r="L313">
        <v>51</v>
      </c>
      <c r="M313">
        <v>10</v>
      </c>
      <c r="N313" t="s">
        <v>30</v>
      </c>
    </row>
    <row r="314" spans="1:14" x14ac:dyDescent="0.35">
      <c r="A314" t="s">
        <v>621</v>
      </c>
      <c r="B314" t="s">
        <v>158</v>
      </c>
      <c r="C314">
        <v>2024</v>
      </c>
      <c r="D314" t="s">
        <v>60</v>
      </c>
      <c r="E314" t="s">
        <v>26</v>
      </c>
      <c r="F314" t="s">
        <v>68</v>
      </c>
      <c r="G314" t="s">
        <v>49</v>
      </c>
      <c r="H314">
        <v>2054.94</v>
      </c>
      <c r="I314">
        <v>1736.83</v>
      </c>
      <c r="J314" t="s">
        <v>34</v>
      </c>
      <c r="K314" t="s">
        <v>21</v>
      </c>
      <c r="L314">
        <v>42</v>
      </c>
      <c r="M314">
        <v>5</v>
      </c>
      <c r="N314" t="s">
        <v>22</v>
      </c>
    </row>
    <row r="315" spans="1:14" x14ac:dyDescent="0.35">
      <c r="A315" t="s">
        <v>622</v>
      </c>
      <c r="B315" t="s">
        <v>208</v>
      </c>
      <c r="C315">
        <v>2023</v>
      </c>
      <c r="D315" t="s">
        <v>74</v>
      </c>
      <c r="E315" t="s">
        <v>26</v>
      </c>
      <c r="F315" t="s">
        <v>39</v>
      </c>
      <c r="G315" t="s">
        <v>19</v>
      </c>
      <c r="H315">
        <v>3199.77</v>
      </c>
      <c r="I315">
        <v>0</v>
      </c>
      <c r="J315" t="s">
        <v>28</v>
      </c>
      <c r="K315" t="s">
        <v>21</v>
      </c>
      <c r="L315">
        <v>56</v>
      </c>
      <c r="M315">
        <v>6</v>
      </c>
      <c r="N315" t="s">
        <v>30</v>
      </c>
    </row>
    <row r="316" spans="1:14" x14ac:dyDescent="0.35">
      <c r="A316" t="s">
        <v>623</v>
      </c>
      <c r="B316" t="s">
        <v>624</v>
      </c>
      <c r="C316">
        <v>2024</v>
      </c>
      <c r="D316" t="s">
        <v>85</v>
      </c>
      <c r="E316" t="s">
        <v>63</v>
      </c>
      <c r="F316" t="s">
        <v>44</v>
      </c>
      <c r="G316" t="s">
        <v>49</v>
      </c>
      <c r="H316">
        <v>1367.79</v>
      </c>
      <c r="I316">
        <v>1212.17</v>
      </c>
      <c r="J316" t="s">
        <v>20</v>
      </c>
      <c r="K316" t="s">
        <v>82</v>
      </c>
      <c r="L316">
        <v>22</v>
      </c>
      <c r="M316">
        <v>6</v>
      </c>
      <c r="N316" t="s">
        <v>22</v>
      </c>
    </row>
    <row r="317" spans="1:14" x14ac:dyDescent="0.35">
      <c r="A317" t="s">
        <v>625</v>
      </c>
      <c r="B317" t="s">
        <v>94</v>
      </c>
      <c r="C317">
        <v>2024</v>
      </c>
      <c r="D317" t="s">
        <v>37</v>
      </c>
      <c r="E317" t="s">
        <v>26</v>
      </c>
      <c r="F317" t="s">
        <v>68</v>
      </c>
      <c r="G317" t="s">
        <v>49</v>
      </c>
      <c r="H317">
        <v>2097.98</v>
      </c>
      <c r="I317">
        <v>0</v>
      </c>
      <c r="J317" t="s">
        <v>28</v>
      </c>
      <c r="K317" t="s">
        <v>29</v>
      </c>
      <c r="L317">
        <v>59</v>
      </c>
      <c r="M317">
        <v>8</v>
      </c>
      <c r="N317" t="s">
        <v>30</v>
      </c>
    </row>
    <row r="318" spans="1:14" x14ac:dyDescent="0.35">
      <c r="A318" t="s">
        <v>626</v>
      </c>
      <c r="B318" t="s">
        <v>627</v>
      </c>
      <c r="C318">
        <v>2023</v>
      </c>
      <c r="D318" t="s">
        <v>43</v>
      </c>
      <c r="E318" t="s">
        <v>17</v>
      </c>
      <c r="F318" t="s">
        <v>39</v>
      </c>
      <c r="G318" t="s">
        <v>40</v>
      </c>
      <c r="H318">
        <v>2159.8000000000002</v>
      </c>
      <c r="I318">
        <v>1871.16</v>
      </c>
      <c r="J318" t="s">
        <v>34</v>
      </c>
      <c r="K318" t="s">
        <v>82</v>
      </c>
      <c r="L318">
        <v>21</v>
      </c>
      <c r="M318">
        <v>1</v>
      </c>
      <c r="N318" t="s">
        <v>22</v>
      </c>
    </row>
    <row r="319" spans="1:14" x14ac:dyDescent="0.35">
      <c r="A319" t="s">
        <v>628</v>
      </c>
      <c r="B319" t="s">
        <v>629</v>
      </c>
      <c r="C319">
        <v>2024</v>
      </c>
      <c r="D319" t="s">
        <v>74</v>
      </c>
      <c r="E319" t="s">
        <v>53</v>
      </c>
      <c r="F319" t="s">
        <v>68</v>
      </c>
      <c r="G319" t="s">
        <v>40</v>
      </c>
      <c r="H319">
        <v>1707.78</v>
      </c>
      <c r="I319">
        <v>1613.41</v>
      </c>
      <c r="J319" t="s">
        <v>34</v>
      </c>
      <c r="K319" t="s">
        <v>45</v>
      </c>
      <c r="L319">
        <v>53</v>
      </c>
      <c r="M319">
        <v>12</v>
      </c>
      <c r="N319" t="s">
        <v>22</v>
      </c>
    </row>
    <row r="320" spans="1:14" x14ac:dyDescent="0.35">
      <c r="A320" t="s">
        <v>630</v>
      </c>
      <c r="B320" t="s">
        <v>383</v>
      </c>
      <c r="C320">
        <v>2023</v>
      </c>
      <c r="D320" t="s">
        <v>52</v>
      </c>
      <c r="E320" t="s">
        <v>26</v>
      </c>
      <c r="F320" t="s">
        <v>27</v>
      </c>
      <c r="G320" t="s">
        <v>19</v>
      </c>
      <c r="H320">
        <v>3384.15</v>
      </c>
      <c r="I320">
        <v>0</v>
      </c>
      <c r="J320" t="s">
        <v>28</v>
      </c>
      <c r="K320" t="s">
        <v>71</v>
      </c>
      <c r="L320">
        <v>25</v>
      </c>
      <c r="M320">
        <v>6</v>
      </c>
      <c r="N320" t="s">
        <v>30</v>
      </c>
    </row>
    <row r="321" spans="1:14" x14ac:dyDescent="0.35">
      <c r="A321" t="s">
        <v>631</v>
      </c>
      <c r="B321" t="s">
        <v>632</v>
      </c>
      <c r="C321">
        <v>2023</v>
      </c>
      <c r="D321" t="s">
        <v>33</v>
      </c>
      <c r="E321" t="s">
        <v>63</v>
      </c>
      <c r="F321" t="s">
        <v>68</v>
      </c>
      <c r="G321" t="s">
        <v>19</v>
      </c>
      <c r="H321">
        <v>1888.49</v>
      </c>
      <c r="I321">
        <v>2222.04</v>
      </c>
      <c r="J321" t="s">
        <v>20</v>
      </c>
      <c r="K321" t="s">
        <v>29</v>
      </c>
      <c r="L321">
        <v>61</v>
      </c>
      <c r="M321">
        <v>3</v>
      </c>
      <c r="N321" t="s">
        <v>22</v>
      </c>
    </row>
    <row r="322" spans="1:14" x14ac:dyDescent="0.35">
      <c r="A322" t="s">
        <v>633</v>
      </c>
      <c r="B322" t="s">
        <v>524</v>
      </c>
      <c r="C322">
        <v>2023</v>
      </c>
      <c r="D322" t="s">
        <v>25</v>
      </c>
      <c r="E322" t="s">
        <v>53</v>
      </c>
      <c r="F322" t="s">
        <v>68</v>
      </c>
      <c r="G322" t="s">
        <v>19</v>
      </c>
      <c r="H322">
        <v>2352.3000000000002</v>
      </c>
      <c r="I322">
        <v>2483.9299999999998</v>
      </c>
      <c r="J322" t="s">
        <v>34</v>
      </c>
      <c r="K322" t="s">
        <v>71</v>
      </c>
      <c r="L322">
        <v>23</v>
      </c>
      <c r="M322">
        <v>7</v>
      </c>
      <c r="N322" t="s">
        <v>22</v>
      </c>
    </row>
    <row r="323" spans="1:14" x14ac:dyDescent="0.35">
      <c r="A323" t="s">
        <v>634</v>
      </c>
      <c r="B323" t="s">
        <v>106</v>
      </c>
      <c r="C323">
        <v>2024</v>
      </c>
      <c r="D323" t="s">
        <v>48</v>
      </c>
      <c r="E323" t="s">
        <v>63</v>
      </c>
      <c r="F323" t="s">
        <v>18</v>
      </c>
      <c r="G323" t="s">
        <v>49</v>
      </c>
      <c r="H323">
        <v>1267.6500000000001</v>
      </c>
      <c r="I323">
        <v>0</v>
      </c>
      <c r="J323" t="s">
        <v>28</v>
      </c>
      <c r="K323" t="s">
        <v>77</v>
      </c>
      <c r="L323">
        <v>71</v>
      </c>
      <c r="M323">
        <v>1</v>
      </c>
      <c r="N323" t="s">
        <v>30</v>
      </c>
    </row>
    <row r="324" spans="1:14" x14ac:dyDescent="0.35">
      <c r="A324" t="s">
        <v>635</v>
      </c>
      <c r="B324" t="s">
        <v>636</v>
      </c>
      <c r="C324">
        <v>2024</v>
      </c>
      <c r="D324" t="s">
        <v>37</v>
      </c>
      <c r="E324" t="s">
        <v>17</v>
      </c>
      <c r="F324" t="s">
        <v>18</v>
      </c>
      <c r="G324" t="s">
        <v>40</v>
      </c>
      <c r="H324">
        <v>1960.59</v>
      </c>
      <c r="I324">
        <v>0</v>
      </c>
      <c r="J324" t="s">
        <v>28</v>
      </c>
      <c r="K324" t="s">
        <v>77</v>
      </c>
      <c r="L324">
        <v>57</v>
      </c>
      <c r="M324">
        <v>2</v>
      </c>
      <c r="N324" t="s">
        <v>30</v>
      </c>
    </row>
    <row r="325" spans="1:14" x14ac:dyDescent="0.35">
      <c r="A325" t="s">
        <v>637</v>
      </c>
      <c r="B325" t="s">
        <v>638</v>
      </c>
      <c r="C325">
        <v>2024</v>
      </c>
      <c r="D325" t="s">
        <v>56</v>
      </c>
      <c r="E325" t="s">
        <v>53</v>
      </c>
      <c r="F325" t="s">
        <v>44</v>
      </c>
      <c r="G325" t="s">
        <v>19</v>
      </c>
      <c r="H325">
        <v>2277.2399999999998</v>
      </c>
      <c r="I325">
        <v>2642.3</v>
      </c>
      <c r="J325" t="s">
        <v>34</v>
      </c>
      <c r="K325" t="s">
        <v>77</v>
      </c>
      <c r="L325">
        <v>50</v>
      </c>
      <c r="M325">
        <v>5</v>
      </c>
      <c r="N325" t="s">
        <v>22</v>
      </c>
    </row>
    <row r="326" spans="1:14" x14ac:dyDescent="0.35">
      <c r="A326" t="s">
        <v>639</v>
      </c>
      <c r="B326" t="s">
        <v>640</v>
      </c>
      <c r="C326">
        <v>2024</v>
      </c>
      <c r="D326" t="s">
        <v>25</v>
      </c>
      <c r="E326" t="s">
        <v>26</v>
      </c>
      <c r="F326" t="s">
        <v>27</v>
      </c>
      <c r="G326" t="s">
        <v>19</v>
      </c>
      <c r="H326">
        <v>2910.18</v>
      </c>
      <c r="I326">
        <v>0</v>
      </c>
      <c r="J326" t="s">
        <v>28</v>
      </c>
      <c r="K326" t="s">
        <v>64</v>
      </c>
      <c r="L326">
        <v>63</v>
      </c>
      <c r="M326">
        <v>10</v>
      </c>
      <c r="N326" t="s">
        <v>30</v>
      </c>
    </row>
    <row r="327" spans="1:14" x14ac:dyDescent="0.35">
      <c r="A327" t="s">
        <v>641</v>
      </c>
      <c r="B327" t="s">
        <v>642</v>
      </c>
      <c r="C327">
        <v>2023</v>
      </c>
      <c r="D327" t="s">
        <v>48</v>
      </c>
      <c r="E327" t="s">
        <v>53</v>
      </c>
      <c r="F327" t="s">
        <v>39</v>
      </c>
      <c r="G327" t="s">
        <v>19</v>
      </c>
      <c r="H327">
        <v>2573.42</v>
      </c>
      <c r="I327">
        <v>0</v>
      </c>
      <c r="J327" t="s">
        <v>28</v>
      </c>
      <c r="K327" t="s">
        <v>21</v>
      </c>
      <c r="L327">
        <v>46</v>
      </c>
      <c r="M327">
        <v>12</v>
      </c>
      <c r="N327" t="s">
        <v>30</v>
      </c>
    </row>
    <row r="328" spans="1:14" x14ac:dyDescent="0.35">
      <c r="A328" t="s">
        <v>643</v>
      </c>
      <c r="B328" t="s">
        <v>620</v>
      </c>
      <c r="C328">
        <v>2024</v>
      </c>
      <c r="D328" t="s">
        <v>43</v>
      </c>
      <c r="E328" t="s">
        <v>17</v>
      </c>
      <c r="F328" t="s">
        <v>18</v>
      </c>
      <c r="G328" t="s">
        <v>49</v>
      </c>
      <c r="H328">
        <v>1653.07</v>
      </c>
      <c r="I328">
        <v>0</v>
      </c>
      <c r="J328" t="s">
        <v>28</v>
      </c>
      <c r="K328" t="s">
        <v>45</v>
      </c>
      <c r="L328">
        <v>22</v>
      </c>
      <c r="M328">
        <v>12</v>
      </c>
      <c r="N328" t="s">
        <v>30</v>
      </c>
    </row>
    <row r="329" spans="1:14" x14ac:dyDescent="0.35">
      <c r="A329" t="s">
        <v>644</v>
      </c>
      <c r="B329" t="s">
        <v>645</v>
      </c>
      <c r="C329">
        <v>2023</v>
      </c>
      <c r="D329" t="s">
        <v>25</v>
      </c>
      <c r="E329" t="s">
        <v>26</v>
      </c>
      <c r="F329" t="s">
        <v>18</v>
      </c>
      <c r="G329" t="s">
        <v>40</v>
      </c>
      <c r="H329">
        <v>2508.0500000000002</v>
      </c>
      <c r="I329">
        <v>0</v>
      </c>
      <c r="J329" t="s">
        <v>28</v>
      </c>
      <c r="K329" t="s">
        <v>82</v>
      </c>
      <c r="L329">
        <v>42</v>
      </c>
      <c r="M329">
        <v>6</v>
      </c>
      <c r="N329" t="s">
        <v>30</v>
      </c>
    </row>
    <row r="330" spans="1:14" x14ac:dyDescent="0.35">
      <c r="A330" t="s">
        <v>646</v>
      </c>
      <c r="B330" t="s">
        <v>490</v>
      </c>
      <c r="C330">
        <v>2024</v>
      </c>
      <c r="D330" t="s">
        <v>33</v>
      </c>
      <c r="E330" t="s">
        <v>63</v>
      </c>
      <c r="F330" t="s">
        <v>27</v>
      </c>
      <c r="G330" t="s">
        <v>49</v>
      </c>
      <c r="H330">
        <v>1172.98</v>
      </c>
      <c r="I330">
        <v>857.43</v>
      </c>
      <c r="J330" t="s">
        <v>34</v>
      </c>
      <c r="K330" t="s">
        <v>57</v>
      </c>
      <c r="L330">
        <v>46</v>
      </c>
      <c r="M330">
        <v>9</v>
      </c>
      <c r="N330" t="s">
        <v>22</v>
      </c>
    </row>
    <row r="331" spans="1:14" x14ac:dyDescent="0.35">
      <c r="A331" t="s">
        <v>647</v>
      </c>
      <c r="B331" t="s">
        <v>90</v>
      </c>
      <c r="C331">
        <v>2024</v>
      </c>
      <c r="D331" t="s">
        <v>67</v>
      </c>
      <c r="E331" t="s">
        <v>26</v>
      </c>
      <c r="F331" t="s">
        <v>27</v>
      </c>
      <c r="G331" t="s">
        <v>49</v>
      </c>
      <c r="H331">
        <v>2014.75</v>
      </c>
      <c r="I331">
        <v>1432.76</v>
      </c>
      <c r="J331" t="s">
        <v>34</v>
      </c>
      <c r="K331" t="s">
        <v>77</v>
      </c>
      <c r="L331">
        <v>45</v>
      </c>
      <c r="M331">
        <v>2</v>
      </c>
      <c r="N331" t="s">
        <v>22</v>
      </c>
    </row>
    <row r="332" spans="1:14" x14ac:dyDescent="0.35">
      <c r="A332" t="s">
        <v>648</v>
      </c>
      <c r="B332" t="s">
        <v>649</v>
      </c>
      <c r="C332">
        <v>2023</v>
      </c>
      <c r="D332" t="s">
        <v>43</v>
      </c>
      <c r="E332" t="s">
        <v>26</v>
      </c>
      <c r="F332" t="s">
        <v>39</v>
      </c>
      <c r="G332" t="s">
        <v>49</v>
      </c>
      <c r="H332">
        <v>2113.8000000000002</v>
      </c>
      <c r="I332">
        <v>1879.67</v>
      </c>
      <c r="J332" t="s">
        <v>20</v>
      </c>
      <c r="K332" t="s">
        <v>21</v>
      </c>
      <c r="L332">
        <v>65</v>
      </c>
      <c r="M332">
        <v>4</v>
      </c>
      <c r="N332" t="s">
        <v>22</v>
      </c>
    </row>
    <row r="333" spans="1:14" x14ac:dyDescent="0.35">
      <c r="A333" t="s">
        <v>650</v>
      </c>
      <c r="B333" t="s">
        <v>181</v>
      </c>
      <c r="C333">
        <v>2024</v>
      </c>
      <c r="D333" t="s">
        <v>85</v>
      </c>
      <c r="E333" t="s">
        <v>17</v>
      </c>
      <c r="F333" t="s">
        <v>39</v>
      </c>
      <c r="G333" t="s">
        <v>19</v>
      </c>
      <c r="H333">
        <v>2682.84</v>
      </c>
      <c r="I333">
        <v>0</v>
      </c>
      <c r="J333" t="s">
        <v>28</v>
      </c>
      <c r="K333" t="s">
        <v>77</v>
      </c>
      <c r="L333">
        <v>44</v>
      </c>
      <c r="M333">
        <v>9</v>
      </c>
      <c r="N333" t="s">
        <v>30</v>
      </c>
    </row>
    <row r="334" spans="1:14" x14ac:dyDescent="0.35">
      <c r="A334" t="s">
        <v>651</v>
      </c>
      <c r="B334" t="s">
        <v>652</v>
      </c>
      <c r="C334">
        <v>2023</v>
      </c>
      <c r="D334" t="s">
        <v>33</v>
      </c>
      <c r="E334" t="s">
        <v>26</v>
      </c>
      <c r="F334" t="s">
        <v>68</v>
      </c>
      <c r="G334" t="s">
        <v>40</v>
      </c>
      <c r="H334">
        <v>2481.27</v>
      </c>
      <c r="I334">
        <v>0</v>
      </c>
      <c r="J334" t="s">
        <v>28</v>
      </c>
      <c r="K334" t="s">
        <v>21</v>
      </c>
      <c r="L334">
        <v>56</v>
      </c>
      <c r="M334">
        <v>11</v>
      </c>
      <c r="N334" t="s">
        <v>30</v>
      </c>
    </row>
    <row r="335" spans="1:14" x14ac:dyDescent="0.35">
      <c r="A335" t="s">
        <v>653</v>
      </c>
      <c r="B335" t="s">
        <v>654</v>
      </c>
      <c r="C335">
        <v>2023</v>
      </c>
      <c r="D335" t="s">
        <v>48</v>
      </c>
      <c r="E335" t="s">
        <v>63</v>
      </c>
      <c r="F335" t="s">
        <v>68</v>
      </c>
      <c r="G335" t="s">
        <v>40</v>
      </c>
      <c r="H335">
        <v>1398.04</v>
      </c>
      <c r="I335">
        <v>1368.14</v>
      </c>
      <c r="J335" t="s">
        <v>88</v>
      </c>
      <c r="K335" t="s">
        <v>57</v>
      </c>
      <c r="L335">
        <v>32</v>
      </c>
      <c r="M335">
        <v>10</v>
      </c>
      <c r="N335" t="s">
        <v>22</v>
      </c>
    </row>
    <row r="336" spans="1:14" x14ac:dyDescent="0.35">
      <c r="A336" t="s">
        <v>655</v>
      </c>
      <c r="B336" t="s">
        <v>656</v>
      </c>
      <c r="C336">
        <v>2024</v>
      </c>
      <c r="D336" t="s">
        <v>25</v>
      </c>
      <c r="E336" t="s">
        <v>26</v>
      </c>
      <c r="F336" t="s">
        <v>39</v>
      </c>
      <c r="G336" t="s">
        <v>40</v>
      </c>
      <c r="H336">
        <v>2257.59</v>
      </c>
      <c r="I336">
        <v>0</v>
      </c>
      <c r="J336" t="s">
        <v>28</v>
      </c>
      <c r="K336" t="s">
        <v>21</v>
      </c>
      <c r="L336">
        <v>47</v>
      </c>
      <c r="M336">
        <v>12</v>
      </c>
      <c r="N336" t="s">
        <v>30</v>
      </c>
    </row>
    <row r="337" spans="1:14" x14ac:dyDescent="0.35">
      <c r="A337" t="s">
        <v>657</v>
      </c>
      <c r="B337" t="s">
        <v>658</v>
      </c>
      <c r="C337">
        <v>2023</v>
      </c>
      <c r="D337" t="s">
        <v>16</v>
      </c>
      <c r="E337" t="s">
        <v>26</v>
      </c>
      <c r="F337" t="s">
        <v>39</v>
      </c>
      <c r="G337" t="s">
        <v>40</v>
      </c>
      <c r="H337">
        <v>2215.27</v>
      </c>
      <c r="I337">
        <v>0</v>
      </c>
      <c r="J337" t="s">
        <v>28</v>
      </c>
      <c r="K337" t="s">
        <v>77</v>
      </c>
      <c r="L337">
        <v>62</v>
      </c>
      <c r="M337">
        <v>10</v>
      </c>
      <c r="N337" t="s">
        <v>30</v>
      </c>
    </row>
    <row r="338" spans="1:14" x14ac:dyDescent="0.35">
      <c r="A338" t="s">
        <v>659</v>
      </c>
      <c r="B338" t="s">
        <v>524</v>
      </c>
      <c r="C338">
        <v>2023</v>
      </c>
      <c r="D338" t="s">
        <v>25</v>
      </c>
      <c r="E338" t="s">
        <v>17</v>
      </c>
      <c r="F338" t="s">
        <v>27</v>
      </c>
      <c r="G338" t="s">
        <v>40</v>
      </c>
      <c r="H338">
        <v>2192.1</v>
      </c>
      <c r="I338">
        <v>1956.99</v>
      </c>
      <c r="J338" t="s">
        <v>34</v>
      </c>
      <c r="K338" t="s">
        <v>21</v>
      </c>
      <c r="L338">
        <v>35</v>
      </c>
      <c r="M338">
        <v>10</v>
      </c>
      <c r="N338" t="s">
        <v>22</v>
      </c>
    </row>
    <row r="339" spans="1:14" x14ac:dyDescent="0.35">
      <c r="A339" t="s">
        <v>660</v>
      </c>
      <c r="B339" t="s">
        <v>289</v>
      </c>
      <c r="C339">
        <v>2024</v>
      </c>
      <c r="D339" t="s">
        <v>25</v>
      </c>
      <c r="E339" t="s">
        <v>38</v>
      </c>
      <c r="F339" t="s">
        <v>27</v>
      </c>
      <c r="G339" t="s">
        <v>19</v>
      </c>
      <c r="H339">
        <v>1066.8699999999999</v>
      </c>
      <c r="I339">
        <v>1121.26</v>
      </c>
      <c r="J339" t="s">
        <v>88</v>
      </c>
      <c r="K339" t="s">
        <v>77</v>
      </c>
      <c r="L339">
        <v>47</v>
      </c>
      <c r="M339">
        <v>12</v>
      </c>
      <c r="N339" t="s">
        <v>22</v>
      </c>
    </row>
    <row r="340" spans="1:14" x14ac:dyDescent="0.35">
      <c r="A340" t="s">
        <v>661</v>
      </c>
      <c r="B340" t="s">
        <v>239</v>
      </c>
      <c r="C340">
        <v>2023</v>
      </c>
      <c r="D340" t="s">
        <v>43</v>
      </c>
      <c r="E340" t="s">
        <v>63</v>
      </c>
      <c r="F340" t="s">
        <v>68</v>
      </c>
      <c r="G340" t="s">
        <v>49</v>
      </c>
      <c r="H340">
        <v>1222.1099999999999</v>
      </c>
      <c r="I340">
        <v>969.57</v>
      </c>
      <c r="J340" t="s">
        <v>34</v>
      </c>
      <c r="K340" t="s">
        <v>64</v>
      </c>
      <c r="L340">
        <v>64</v>
      </c>
      <c r="M340">
        <v>4</v>
      </c>
      <c r="N340" t="s">
        <v>22</v>
      </c>
    </row>
    <row r="341" spans="1:14" x14ac:dyDescent="0.35">
      <c r="A341" t="s">
        <v>662</v>
      </c>
      <c r="B341" t="s">
        <v>542</v>
      </c>
      <c r="C341">
        <v>2023</v>
      </c>
      <c r="D341" t="s">
        <v>67</v>
      </c>
      <c r="E341" t="s">
        <v>17</v>
      </c>
      <c r="F341" t="s">
        <v>44</v>
      </c>
      <c r="G341" t="s">
        <v>40</v>
      </c>
      <c r="H341">
        <v>1862.63</v>
      </c>
      <c r="I341">
        <v>0</v>
      </c>
      <c r="J341" t="s">
        <v>28</v>
      </c>
      <c r="K341" t="s">
        <v>82</v>
      </c>
      <c r="L341">
        <v>36</v>
      </c>
      <c r="M341">
        <v>1</v>
      </c>
      <c r="N341" t="s">
        <v>30</v>
      </c>
    </row>
    <row r="342" spans="1:14" x14ac:dyDescent="0.35">
      <c r="A342" t="s">
        <v>663</v>
      </c>
      <c r="B342" t="s">
        <v>664</v>
      </c>
      <c r="C342">
        <v>2024</v>
      </c>
      <c r="D342" t="s">
        <v>48</v>
      </c>
      <c r="E342" t="s">
        <v>63</v>
      </c>
      <c r="F342" t="s">
        <v>39</v>
      </c>
      <c r="G342" t="s">
        <v>49</v>
      </c>
      <c r="H342">
        <v>1229.01</v>
      </c>
      <c r="I342">
        <v>946.22</v>
      </c>
      <c r="J342" t="s">
        <v>88</v>
      </c>
      <c r="K342" t="s">
        <v>57</v>
      </c>
      <c r="L342">
        <v>41</v>
      </c>
      <c r="M342">
        <v>6</v>
      </c>
      <c r="N342" t="s">
        <v>22</v>
      </c>
    </row>
    <row r="343" spans="1:14" x14ac:dyDescent="0.35">
      <c r="A343" t="s">
        <v>665</v>
      </c>
      <c r="B343" t="s">
        <v>145</v>
      </c>
      <c r="C343">
        <v>2024</v>
      </c>
      <c r="D343" t="s">
        <v>52</v>
      </c>
      <c r="E343" t="s">
        <v>63</v>
      </c>
      <c r="F343" t="s">
        <v>44</v>
      </c>
      <c r="G343" t="s">
        <v>40</v>
      </c>
      <c r="H343">
        <v>1617.27</v>
      </c>
      <c r="I343">
        <v>1624.13</v>
      </c>
      <c r="J343" t="s">
        <v>20</v>
      </c>
      <c r="K343" t="s">
        <v>64</v>
      </c>
      <c r="L343">
        <v>65</v>
      </c>
      <c r="M343">
        <v>10</v>
      </c>
      <c r="N343" t="s">
        <v>22</v>
      </c>
    </row>
    <row r="344" spans="1:14" x14ac:dyDescent="0.35">
      <c r="A344" t="s">
        <v>666</v>
      </c>
      <c r="B344" t="s">
        <v>667</v>
      </c>
      <c r="C344">
        <v>2023</v>
      </c>
      <c r="D344" t="s">
        <v>85</v>
      </c>
      <c r="E344" t="s">
        <v>17</v>
      </c>
      <c r="F344" t="s">
        <v>27</v>
      </c>
      <c r="G344" t="s">
        <v>49</v>
      </c>
      <c r="H344">
        <v>1595.28</v>
      </c>
      <c r="I344">
        <v>0</v>
      </c>
      <c r="J344" t="s">
        <v>28</v>
      </c>
      <c r="K344" t="s">
        <v>57</v>
      </c>
      <c r="L344">
        <v>52</v>
      </c>
      <c r="M344">
        <v>9</v>
      </c>
      <c r="N344" t="s">
        <v>30</v>
      </c>
    </row>
    <row r="345" spans="1:14" x14ac:dyDescent="0.35">
      <c r="A345" t="s">
        <v>668</v>
      </c>
      <c r="B345" t="s">
        <v>36</v>
      </c>
      <c r="C345">
        <v>2023</v>
      </c>
      <c r="D345" t="s">
        <v>37</v>
      </c>
      <c r="E345" t="s">
        <v>63</v>
      </c>
      <c r="F345" t="s">
        <v>44</v>
      </c>
      <c r="G345" t="s">
        <v>40</v>
      </c>
      <c r="H345">
        <v>1497.07</v>
      </c>
      <c r="I345">
        <v>0</v>
      </c>
      <c r="J345" t="s">
        <v>28</v>
      </c>
      <c r="K345" t="s">
        <v>77</v>
      </c>
      <c r="L345">
        <v>63</v>
      </c>
      <c r="M345">
        <v>6</v>
      </c>
      <c r="N345" t="s">
        <v>30</v>
      </c>
    </row>
    <row r="346" spans="1:14" x14ac:dyDescent="0.35">
      <c r="A346" t="s">
        <v>669</v>
      </c>
      <c r="B346" t="s">
        <v>670</v>
      </c>
      <c r="C346">
        <v>2024</v>
      </c>
      <c r="D346" t="s">
        <v>48</v>
      </c>
      <c r="E346" t="s">
        <v>26</v>
      </c>
      <c r="F346" t="s">
        <v>18</v>
      </c>
      <c r="G346" t="s">
        <v>40</v>
      </c>
      <c r="H346">
        <v>2259.15</v>
      </c>
      <c r="I346">
        <v>0</v>
      </c>
      <c r="J346" t="s">
        <v>28</v>
      </c>
      <c r="K346" t="s">
        <v>29</v>
      </c>
      <c r="L346">
        <v>45</v>
      </c>
      <c r="M346">
        <v>5</v>
      </c>
      <c r="N346" t="s">
        <v>30</v>
      </c>
    </row>
    <row r="347" spans="1:14" x14ac:dyDescent="0.35">
      <c r="A347" t="s">
        <v>671</v>
      </c>
      <c r="B347" t="s">
        <v>524</v>
      </c>
      <c r="C347">
        <v>2023</v>
      </c>
      <c r="D347" t="s">
        <v>25</v>
      </c>
      <c r="E347" t="s">
        <v>26</v>
      </c>
      <c r="F347" t="s">
        <v>44</v>
      </c>
      <c r="G347" t="s">
        <v>19</v>
      </c>
      <c r="H347">
        <v>3060.49</v>
      </c>
      <c r="I347">
        <v>3474.71</v>
      </c>
      <c r="J347" t="s">
        <v>34</v>
      </c>
      <c r="K347" t="s">
        <v>77</v>
      </c>
      <c r="L347">
        <v>70</v>
      </c>
      <c r="M347">
        <v>10</v>
      </c>
      <c r="N347" t="s">
        <v>22</v>
      </c>
    </row>
    <row r="348" spans="1:14" x14ac:dyDescent="0.35">
      <c r="A348" t="s">
        <v>672</v>
      </c>
      <c r="B348" t="s">
        <v>673</v>
      </c>
      <c r="C348">
        <v>2024</v>
      </c>
      <c r="D348" t="s">
        <v>60</v>
      </c>
      <c r="E348" t="s">
        <v>53</v>
      </c>
      <c r="F348" t="s">
        <v>44</v>
      </c>
      <c r="G348" t="s">
        <v>49</v>
      </c>
      <c r="H348">
        <v>1377.57</v>
      </c>
      <c r="I348">
        <v>1004.64</v>
      </c>
      <c r="J348" t="s">
        <v>88</v>
      </c>
      <c r="K348" t="s">
        <v>29</v>
      </c>
      <c r="L348">
        <v>25</v>
      </c>
      <c r="M348">
        <v>6</v>
      </c>
      <c r="N348" t="s">
        <v>22</v>
      </c>
    </row>
    <row r="349" spans="1:14" x14ac:dyDescent="0.35">
      <c r="A349" t="s">
        <v>674</v>
      </c>
      <c r="B349" t="s">
        <v>675</v>
      </c>
      <c r="C349">
        <v>2024</v>
      </c>
      <c r="D349" t="s">
        <v>74</v>
      </c>
      <c r="E349" t="s">
        <v>17</v>
      </c>
      <c r="F349" t="s">
        <v>44</v>
      </c>
      <c r="G349" t="s">
        <v>40</v>
      </c>
      <c r="H349">
        <v>1876.54</v>
      </c>
      <c r="I349">
        <v>1659.64</v>
      </c>
      <c r="J349" t="s">
        <v>34</v>
      </c>
      <c r="K349" t="s">
        <v>64</v>
      </c>
      <c r="L349">
        <v>48</v>
      </c>
      <c r="M349">
        <v>8</v>
      </c>
      <c r="N349" t="s">
        <v>22</v>
      </c>
    </row>
    <row r="350" spans="1:14" x14ac:dyDescent="0.35">
      <c r="A350" t="s">
        <v>676</v>
      </c>
      <c r="B350" t="s">
        <v>677</v>
      </c>
      <c r="C350">
        <v>2024</v>
      </c>
      <c r="D350" t="s">
        <v>56</v>
      </c>
      <c r="E350" t="s">
        <v>38</v>
      </c>
      <c r="F350" t="s">
        <v>39</v>
      </c>
      <c r="G350" t="s">
        <v>40</v>
      </c>
      <c r="H350">
        <v>814.18</v>
      </c>
      <c r="I350">
        <v>0</v>
      </c>
      <c r="J350" t="s">
        <v>28</v>
      </c>
      <c r="K350" t="s">
        <v>82</v>
      </c>
      <c r="L350">
        <v>62</v>
      </c>
      <c r="M350">
        <v>12</v>
      </c>
      <c r="N350" t="s">
        <v>30</v>
      </c>
    </row>
    <row r="351" spans="1:14" x14ac:dyDescent="0.35">
      <c r="A351" t="s">
        <v>678</v>
      </c>
      <c r="B351" t="s">
        <v>679</v>
      </c>
      <c r="C351">
        <v>2024</v>
      </c>
      <c r="D351" t="s">
        <v>48</v>
      </c>
      <c r="E351" t="s">
        <v>17</v>
      </c>
      <c r="F351" t="s">
        <v>18</v>
      </c>
      <c r="G351" t="s">
        <v>40</v>
      </c>
      <c r="H351">
        <v>1909.29</v>
      </c>
      <c r="I351">
        <v>0</v>
      </c>
      <c r="J351" t="s">
        <v>28</v>
      </c>
      <c r="K351" t="s">
        <v>21</v>
      </c>
      <c r="L351">
        <v>37</v>
      </c>
      <c r="M351">
        <v>6</v>
      </c>
      <c r="N351" t="s">
        <v>30</v>
      </c>
    </row>
    <row r="352" spans="1:14" x14ac:dyDescent="0.35">
      <c r="A352" t="s">
        <v>680</v>
      </c>
      <c r="B352" t="s">
        <v>681</v>
      </c>
      <c r="C352">
        <v>2023</v>
      </c>
      <c r="D352" t="s">
        <v>33</v>
      </c>
      <c r="E352" t="s">
        <v>38</v>
      </c>
      <c r="F352" t="s">
        <v>44</v>
      </c>
      <c r="G352" t="s">
        <v>40</v>
      </c>
      <c r="H352">
        <v>826.15</v>
      </c>
      <c r="I352">
        <v>867.16</v>
      </c>
      <c r="J352" t="s">
        <v>34</v>
      </c>
      <c r="K352" t="s">
        <v>82</v>
      </c>
      <c r="L352">
        <v>52</v>
      </c>
      <c r="M352">
        <v>4</v>
      </c>
      <c r="N352" t="s">
        <v>22</v>
      </c>
    </row>
    <row r="353" spans="1:14" x14ac:dyDescent="0.35">
      <c r="A353" t="s">
        <v>682</v>
      </c>
      <c r="B353" t="s">
        <v>683</v>
      </c>
      <c r="C353">
        <v>2024</v>
      </c>
      <c r="D353" t="s">
        <v>74</v>
      </c>
      <c r="E353" t="s">
        <v>38</v>
      </c>
      <c r="F353" t="s">
        <v>18</v>
      </c>
      <c r="G353" t="s">
        <v>49</v>
      </c>
      <c r="H353">
        <v>733.43</v>
      </c>
      <c r="I353">
        <v>0</v>
      </c>
      <c r="J353" t="s">
        <v>28</v>
      </c>
      <c r="K353" t="s">
        <v>71</v>
      </c>
      <c r="L353">
        <v>69</v>
      </c>
      <c r="M353">
        <v>2</v>
      </c>
      <c r="N353" t="s">
        <v>30</v>
      </c>
    </row>
    <row r="354" spans="1:14" x14ac:dyDescent="0.35">
      <c r="A354" t="s">
        <v>684</v>
      </c>
      <c r="B354" t="s">
        <v>685</v>
      </c>
      <c r="C354">
        <v>2024</v>
      </c>
      <c r="D354" t="s">
        <v>52</v>
      </c>
      <c r="E354" t="s">
        <v>63</v>
      </c>
      <c r="F354" t="s">
        <v>44</v>
      </c>
      <c r="G354" t="s">
        <v>49</v>
      </c>
      <c r="H354">
        <v>1150.3599999999999</v>
      </c>
      <c r="I354">
        <v>900.38</v>
      </c>
      <c r="J354" t="s">
        <v>34</v>
      </c>
      <c r="K354" t="s">
        <v>77</v>
      </c>
      <c r="L354">
        <v>33</v>
      </c>
      <c r="M354">
        <v>3</v>
      </c>
      <c r="N354" t="s">
        <v>22</v>
      </c>
    </row>
    <row r="355" spans="1:14" x14ac:dyDescent="0.35">
      <c r="A355" t="s">
        <v>686</v>
      </c>
      <c r="B355" t="s">
        <v>504</v>
      </c>
      <c r="C355">
        <v>2023</v>
      </c>
      <c r="D355" t="s">
        <v>37</v>
      </c>
      <c r="E355" t="s">
        <v>26</v>
      </c>
      <c r="F355" t="s">
        <v>68</v>
      </c>
      <c r="G355" t="s">
        <v>19</v>
      </c>
      <c r="H355">
        <v>3035.57</v>
      </c>
      <c r="I355">
        <v>0</v>
      </c>
      <c r="J355" t="s">
        <v>28</v>
      </c>
      <c r="K355" t="s">
        <v>29</v>
      </c>
      <c r="L355">
        <v>57</v>
      </c>
      <c r="M355">
        <v>12</v>
      </c>
      <c r="N355" t="s">
        <v>30</v>
      </c>
    </row>
    <row r="356" spans="1:14" x14ac:dyDescent="0.35">
      <c r="A356" t="s">
        <v>687</v>
      </c>
      <c r="B356" t="s">
        <v>688</v>
      </c>
      <c r="C356">
        <v>2023</v>
      </c>
      <c r="D356" t="s">
        <v>56</v>
      </c>
      <c r="E356" t="s">
        <v>63</v>
      </c>
      <c r="F356" t="s">
        <v>68</v>
      </c>
      <c r="G356" t="s">
        <v>40</v>
      </c>
      <c r="H356">
        <v>1513.54</v>
      </c>
      <c r="I356">
        <v>1402.2</v>
      </c>
      <c r="J356" t="s">
        <v>34</v>
      </c>
      <c r="K356" t="s">
        <v>82</v>
      </c>
      <c r="L356">
        <v>62</v>
      </c>
      <c r="M356">
        <v>12</v>
      </c>
      <c r="N356" t="s">
        <v>22</v>
      </c>
    </row>
    <row r="357" spans="1:14" x14ac:dyDescent="0.35">
      <c r="A357" t="s">
        <v>689</v>
      </c>
      <c r="B357" t="s">
        <v>690</v>
      </c>
      <c r="C357">
        <v>2024</v>
      </c>
      <c r="D357" t="s">
        <v>85</v>
      </c>
      <c r="E357" t="s">
        <v>63</v>
      </c>
      <c r="F357" t="s">
        <v>18</v>
      </c>
      <c r="G357" t="s">
        <v>49</v>
      </c>
      <c r="H357">
        <v>1292.8</v>
      </c>
      <c r="I357">
        <v>0</v>
      </c>
      <c r="J357" t="s">
        <v>28</v>
      </c>
      <c r="K357" t="s">
        <v>82</v>
      </c>
      <c r="L357">
        <v>42</v>
      </c>
      <c r="M357">
        <v>4</v>
      </c>
      <c r="N357" t="s">
        <v>30</v>
      </c>
    </row>
    <row r="358" spans="1:14" x14ac:dyDescent="0.35">
      <c r="A358" t="s">
        <v>691</v>
      </c>
      <c r="B358" t="s">
        <v>692</v>
      </c>
      <c r="C358">
        <v>2023</v>
      </c>
      <c r="D358" t="s">
        <v>60</v>
      </c>
      <c r="E358" t="s">
        <v>63</v>
      </c>
      <c r="F358" t="s">
        <v>68</v>
      </c>
      <c r="G358" t="s">
        <v>40</v>
      </c>
      <c r="H358">
        <v>1497.26</v>
      </c>
      <c r="I358">
        <v>1423.86</v>
      </c>
      <c r="J358" t="s">
        <v>88</v>
      </c>
      <c r="K358" t="s">
        <v>29</v>
      </c>
      <c r="L358">
        <v>49</v>
      </c>
      <c r="M358">
        <v>3</v>
      </c>
      <c r="N358" t="s">
        <v>22</v>
      </c>
    </row>
    <row r="359" spans="1:14" x14ac:dyDescent="0.35">
      <c r="A359" t="s">
        <v>693</v>
      </c>
      <c r="B359" t="s">
        <v>474</v>
      </c>
      <c r="C359">
        <v>2023</v>
      </c>
      <c r="D359" t="s">
        <v>16</v>
      </c>
      <c r="E359" t="s">
        <v>63</v>
      </c>
      <c r="F359" t="s">
        <v>18</v>
      </c>
      <c r="G359" t="s">
        <v>19</v>
      </c>
      <c r="H359">
        <v>1979.79</v>
      </c>
      <c r="I359">
        <v>2325.98</v>
      </c>
      <c r="J359" t="s">
        <v>34</v>
      </c>
      <c r="K359" t="s">
        <v>77</v>
      </c>
      <c r="L359">
        <v>72</v>
      </c>
      <c r="M359">
        <v>2</v>
      </c>
      <c r="N359" t="s">
        <v>22</v>
      </c>
    </row>
    <row r="360" spans="1:14" x14ac:dyDescent="0.35">
      <c r="A360" t="s">
        <v>694</v>
      </c>
      <c r="B360" t="s">
        <v>551</v>
      </c>
      <c r="C360">
        <v>2024</v>
      </c>
      <c r="D360" t="s">
        <v>37</v>
      </c>
      <c r="E360" t="s">
        <v>38</v>
      </c>
      <c r="F360" t="s">
        <v>44</v>
      </c>
      <c r="G360" t="s">
        <v>40</v>
      </c>
      <c r="H360">
        <v>845.47</v>
      </c>
      <c r="I360">
        <v>0</v>
      </c>
      <c r="J360" t="s">
        <v>28</v>
      </c>
      <c r="K360" t="s">
        <v>77</v>
      </c>
      <c r="L360">
        <v>23</v>
      </c>
      <c r="M360">
        <v>8</v>
      </c>
      <c r="N360" t="s">
        <v>30</v>
      </c>
    </row>
    <row r="361" spans="1:14" x14ac:dyDescent="0.35">
      <c r="A361" t="s">
        <v>695</v>
      </c>
      <c r="B361" t="s">
        <v>696</v>
      </c>
      <c r="C361">
        <v>2024</v>
      </c>
      <c r="D361" t="s">
        <v>60</v>
      </c>
      <c r="E361" t="s">
        <v>38</v>
      </c>
      <c r="F361" t="s">
        <v>27</v>
      </c>
      <c r="G361" t="s">
        <v>19</v>
      </c>
      <c r="H361">
        <v>1079.75</v>
      </c>
      <c r="I361">
        <v>0</v>
      </c>
      <c r="J361" t="s">
        <v>28</v>
      </c>
      <c r="K361" t="s">
        <v>45</v>
      </c>
      <c r="L361">
        <v>50</v>
      </c>
      <c r="M361">
        <v>2</v>
      </c>
      <c r="N361" t="s">
        <v>30</v>
      </c>
    </row>
    <row r="362" spans="1:14" x14ac:dyDescent="0.35">
      <c r="A362" t="s">
        <v>697</v>
      </c>
      <c r="B362" t="s">
        <v>698</v>
      </c>
      <c r="C362">
        <v>2023</v>
      </c>
      <c r="D362" t="s">
        <v>74</v>
      </c>
      <c r="E362" t="s">
        <v>26</v>
      </c>
      <c r="F362" t="s">
        <v>18</v>
      </c>
      <c r="G362" t="s">
        <v>49</v>
      </c>
      <c r="H362">
        <v>1971.66</v>
      </c>
      <c r="I362">
        <v>0</v>
      </c>
      <c r="J362" t="s">
        <v>28</v>
      </c>
      <c r="K362" t="s">
        <v>64</v>
      </c>
      <c r="L362">
        <v>21</v>
      </c>
      <c r="M362">
        <v>6</v>
      </c>
      <c r="N362" t="s">
        <v>30</v>
      </c>
    </row>
    <row r="363" spans="1:14" x14ac:dyDescent="0.35">
      <c r="A363" t="s">
        <v>699</v>
      </c>
      <c r="B363" t="s">
        <v>700</v>
      </c>
      <c r="C363">
        <v>2023</v>
      </c>
      <c r="D363" t="s">
        <v>56</v>
      </c>
      <c r="E363" t="s">
        <v>26</v>
      </c>
      <c r="F363" t="s">
        <v>44</v>
      </c>
      <c r="G363" t="s">
        <v>40</v>
      </c>
      <c r="H363">
        <v>2493.8200000000002</v>
      </c>
      <c r="I363">
        <v>2611.62</v>
      </c>
      <c r="J363" t="s">
        <v>88</v>
      </c>
      <c r="K363" t="s">
        <v>21</v>
      </c>
      <c r="L363">
        <v>41</v>
      </c>
      <c r="M363">
        <v>3</v>
      </c>
      <c r="N363" t="s">
        <v>22</v>
      </c>
    </row>
    <row r="364" spans="1:14" x14ac:dyDescent="0.35">
      <c r="A364" t="s">
        <v>701</v>
      </c>
      <c r="B364" t="s">
        <v>702</v>
      </c>
      <c r="C364">
        <v>2024</v>
      </c>
      <c r="D364" t="s">
        <v>56</v>
      </c>
      <c r="E364" t="s">
        <v>63</v>
      </c>
      <c r="F364" t="s">
        <v>68</v>
      </c>
      <c r="G364" t="s">
        <v>49</v>
      </c>
      <c r="H364">
        <v>1226.9100000000001</v>
      </c>
      <c r="I364">
        <v>0</v>
      </c>
      <c r="J364" t="s">
        <v>28</v>
      </c>
      <c r="K364" t="s">
        <v>64</v>
      </c>
      <c r="L364">
        <v>32</v>
      </c>
      <c r="M364">
        <v>1</v>
      </c>
      <c r="N364" t="s">
        <v>30</v>
      </c>
    </row>
    <row r="365" spans="1:14" x14ac:dyDescent="0.35">
      <c r="A365" t="s">
        <v>703</v>
      </c>
      <c r="B365" t="s">
        <v>704</v>
      </c>
      <c r="C365">
        <v>2023</v>
      </c>
      <c r="D365" t="s">
        <v>60</v>
      </c>
      <c r="E365" t="s">
        <v>26</v>
      </c>
      <c r="F365" t="s">
        <v>27</v>
      </c>
      <c r="G365" t="s">
        <v>49</v>
      </c>
      <c r="H365">
        <v>1877.97</v>
      </c>
      <c r="I365">
        <v>0</v>
      </c>
      <c r="J365" t="s">
        <v>28</v>
      </c>
      <c r="K365" t="s">
        <v>77</v>
      </c>
      <c r="L365">
        <v>42</v>
      </c>
      <c r="M365">
        <v>2</v>
      </c>
      <c r="N365" t="s">
        <v>30</v>
      </c>
    </row>
    <row r="366" spans="1:14" x14ac:dyDescent="0.35">
      <c r="A366" t="s">
        <v>705</v>
      </c>
      <c r="B366" t="s">
        <v>706</v>
      </c>
      <c r="C366">
        <v>2024</v>
      </c>
      <c r="D366" t="s">
        <v>67</v>
      </c>
      <c r="E366" t="s">
        <v>63</v>
      </c>
      <c r="F366" t="s">
        <v>68</v>
      </c>
      <c r="G366" t="s">
        <v>49</v>
      </c>
      <c r="H366">
        <v>1188.67</v>
      </c>
      <c r="I366">
        <v>0</v>
      </c>
      <c r="J366" t="s">
        <v>28</v>
      </c>
      <c r="K366" t="s">
        <v>29</v>
      </c>
      <c r="L366">
        <v>46</v>
      </c>
      <c r="M366">
        <v>5</v>
      </c>
      <c r="N366" t="s">
        <v>30</v>
      </c>
    </row>
    <row r="367" spans="1:14" x14ac:dyDescent="0.35">
      <c r="A367" t="s">
        <v>707</v>
      </c>
      <c r="B367" t="s">
        <v>594</v>
      </c>
      <c r="C367">
        <v>2023</v>
      </c>
      <c r="D367" t="s">
        <v>16</v>
      </c>
      <c r="E367" t="s">
        <v>53</v>
      </c>
      <c r="F367" t="s">
        <v>18</v>
      </c>
      <c r="G367" t="s">
        <v>49</v>
      </c>
      <c r="H367">
        <v>1457.43</v>
      </c>
      <c r="I367">
        <v>1059.99</v>
      </c>
      <c r="J367" t="s">
        <v>88</v>
      </c>
      <c r="K367" t="s">
        <v>21</v>
      </c>
      <c r="L367">
        <v>42</v>
      </c>
      <c r="M367">
        <v>4</v>
      </c>
      <c r="N367" t="s">
        <v>22</v>
      </c>
    </row>
    <row r="368" spans="1:14" x14ac:dyDescent="0.35">
      <c r="A368" t="s">
        <v>708</v>
      </c>
      <c r="B368" t="s">
        <v>417</v>
      </c>
      <c r="C368">
        <v>2024</v>
      </c>
      <c r="D368" t="s">
        <v>43</v>
      </c>
      <c r="E368" t="s">
        <v>63</v>
      </c>
      <c r="F368" t="s">
        <v>39</v>
      </c>
      <c r="G368" t="s">
        <v>19</v>
      </c>
      <c r="H368">
        <v>2139.54</v>
      </c>
      <c r="I368">
        <v>0</v>
      </c>
      <c r="J368" t="s">
        <v>28</v>
      </c>
      <c r="K368" t="s">
        <v>21</v>
      </c>
      <c r="L368">
        <v>72</v>
      </c>
      <c r="M368">
        <v>11</v>
      </c>
      <c r="N368" t="s">
        <v>30</v>
      </c>
    </row>
    <row r="369" spans="1:14" x14ac:dyDescent="0.35">
      <c r="A369" t="s">
        <v>709</v>
      </c>
      <c r="B369" t="s">
        <v>540</v>
      </c>
      <c r="C369">
        <v>2024</v>
      </c>
      <c r="D369" t="s">
        <v>43</v>
      </c>
      <c r="E369" t="s">
        <v>38</v>
      </c>
      <c r="F369" t="s">
        <v>27</v>
      </c>
      <c r="G369" t="s">
        <v>40</v>
      </c>
      <c r="H369">
        <v>792.13</v>
      </c>
      <c r="I369">
        <v>786.98</v>
      </c>
      <c r="J369" t="s">
        <v>20</v>
      </c>
      <c r="K369" t="s">
        <v>29</v>
      </c>
      <c r="L369">
        <v>21</v>
      </c>
      <c r="M369">
        <v>7</v>
      </c>
      <c r="N369" t="s">
        <v>22</v>
      </c>
    </row>
    <row r="370" spans="1:14" x14ac:dyDescent="0.35">
      <c r="A370" t="s">
        <v>710</v>
      </c>
      <c r="B370" t="s">
        <v>168</v>
      </c>
      <c r="C370">
        <v>2024</v>
      </c>
      <c r="D370" t="s">
        <v>56</v>
      </c>
      <c r="E370" t="s">
        <v>63</v>
      </c>
      <c r="F370" t="s">
        <v>27</v>
      </c>
      <c r="G370" t="s">
        <v>40</v>
      </c>
      <c r="H370">
        <v>1558.88</v>
      </c>
      <c r="I370">
        <v>1415.18</v>
      </c>
      <c r="J370" t="s">
        <v>88</v>
      </c>
      <c r="K370" t="s">
        <v>45</v>
      </c>
      <c r="L370">
        <v>42</v>
      </c>
      <c r="M370">
        <v>1</v>
      </c>
      <c r="N370" t="s">
        <v>22</v>
      </c>
    </row>
    <row r="371" spans="1:14" x14ac:dyDescent="0.35">
      <c r="A371" t="s">
        <v>711</v>
      </c>
      <c r="B371" t="s">
        <v>712</v>
      </c>
      <c r="C371">
        <v>2023</v>
      </c>
      <c r="D371" t="s">
        <v>56</v>
      </c>
      <c r="E371" t="s">
        <v>63</v>
      </c>
      <c r="F371" t="s">
        <v>68</v>
      </c>
      <c r="G371" t="s">
        <v>40</v>
      </c>
      <c r="H371">
        <v>1507.37</v>
      </c>
      <c r="I371">
        <v>0</v>
      </c>
      <c r="J371" t="s">
        <v>28</v>
      </c>
      <c r="K371" t="s">
        <v>29</v>
      </c>
      <c r="L371">
        <v>55</v>
      </c>
      <c r="M371">
        <v>3</v>
      </c>
      <c r="N371" t="s">
        <v>30</v>
      </c>
    </row>
    <row r="372" spans="1:14" x14ac:dyDescent="0.35">
      <c r="A372" t="s">
        <v>713</v>
      </c>
      <c r="B372" t="s">
        <v>714</v>
      </c>
      <c r="C372">
        <v>2023</v>
      </c>
      <c r="D372" t="s">
        <v>74</v>
      </c>
      <c r="E372" t="s">
        <v>53</v>
      </c>
      <c r="F372" t="s">
        <v>68</v>
      </c>
      <c r="G372" t="s">
        <v>19</v>
      </c>
      <c r="H372">
        <v>2189.5500000000002</v>
      </c>
      <c r="I372">
        <v>0</v>
      </c>
      <c r="J372" t="s">
        <v>28</v>
      </c>
      <c r="K372" t="s">
        <v>45</v>
      </c>
      <c r="L372">
        <v>56</v>
      </c>
      <c r="M372">
        <v>11</v>
      </c>
      <c r="N372" t="s">
        <v>30</v>
      </c>
    </row>
    <row r="373" spans="1:14" x14ac:dyDescent="0.35">
      <c r="A373" t="s">
        <v>715</v>
      </c>
      <c r="B373" t="s">
        <v>716</v>
      </c>
      <c r="C373">
        <v>2024</v>
      </c>
      <c r="D373" t="s">
        <v>16</v>
      </c>
      <c r="E373" t="s">
        <v>17</v>
      </c>
      <c r="F373" t="s">
        <v>44</v>
      </c>
      <c r="G373" t="s">
        <v>40</v>
      </c>
      <c r="H373">
        <v>2036.07</v>
      </c>
      <c r="I373">
        <v>0</v>
      </c>
      <c r="J373" t="s">
        <v>28</v>
      </c>
      <c r="K373" t="s">
        <v>21</v>
      </c>
      <c r="L373">
        <v>31</v>
      </c>
      <c r="M373">
        <v>3</v>
      </c>
      <c r="N373" t="s">
        <v>30</v>
      </c>
    </row>
    <row r="374" spans="1:14" x14ac:dyDescent="0.35">
      <c r="A374" t="s">
        <v>717</v>
      </c>
      <c r="B374" t="s">
        <v>718</v>
      </c>
      <c r="C374">
        <v>2024</v>
      </c>
      <c r="D374" t="s">
        <v>74</v>
      </c>
      <c r="E374" t="s">
        <v>63</v>
      </c>
      <c r="F374" t="s">
        <v>68</v>
      </c>
      <c r="G374" t="s">
        <v>19</v>
      </c>
      <c r="H374">
        <v>2075.85</v>
      </c>
      <c r="I374">
        <v>2287.1999999999998</v>
      </c>
      <c r="J374" t="s">
        <v>20</v>
      </c>
      <c r="K374" t="s">
        <v>29</v>
      </c>
      <c r="L374">
        <v>70</v>
      </c>
      <c r="M374">
        <v>11</v>
      </c>
      <c r="N374" t="s">
        <v>22</v>
      </c>
    </row>
    <row r="375" spans="1:14" x14ac:dyDescent="0.35">
      <c r="A375" t="s">
        <v>719</v>
      </c>
      <c r="B375" t="s">
        <v>720</v>
      </c>
      <c r="C375">
        <v>2023</v>
      </c>
      <c r="D375" t="s">
        <v>48</v>
      </c>
      <c r="E375" t="s">
        <v>53</v>
      </c>
      <c r="F375" t="s">
        <v>27</v>
      </c>
      <c r="G375" t="s">
        <v>19</v>
      </c>
      <c r="H375">
        <v>2131.88</v>
      </c>
      <c r="I375">
        <v>0</v>
      </c>
      <c r="J375" t="s">
        <v>28</v>
      </c>
      <c r="K375" t="s">
        <v>57</v>
      </c>
      <c r="L375">
        <v>66</v>
      </c>
      <c r="M375">
        <v>6</v>
      </c>
      <c r="N375" t="s">
        <v>30</v>
      </c>
    </row>
    <row r="376" spans="1:14" x14ac:dyDescent="0.35">
      <c r="A376" t="s">
        <v>721</v>
      </c>
      <c r="B376" t="s">
        <v>629</v>
      </c>
      <c r="C376">
        <v>2024</v>
      </c>
      <c r="D376" t="s">
        <v>74</v>
      </c>
      <c r="E376" t="s">
        <v>26</v>
      </c>
      <c r="F376" t="s">
        <v>39</v>
      </c>
      <c r="G376" t="s">
        <v>40</v>
      </c>
      <c r="H376">
        <v>2425.12</v>
      </c>
      <c r="I376">
        <v>2103.2800000000002</v>
      </c>
      <c r="J376" t="s">
        <v>20</v>
      </c>
      <c r="K376" t="s">
        <v>57</v>
      </c>
      <c r="L376">
        <v>72</v>
      </c>
      <c r="M376">
        <v>11</v>
      </c>
      <c r="N376" t="s">
        <v>22</v>
      </c>
    </row>
    <row r="377" spans="1:14" x14ac:dyDescent="0.35">
      <c r="A377" t="s">
        <v>722</v>
      </c>
      <c r="B377" t="s">
        <v>723</v>
      </c>
      <c r="C377">
        <v>2024</v>
      </c>
      <c r="D377" t="s">
        <v>52</v>
      </c>
      <c r="E377" t="s">
        <v>26</v>
      </c>
      <c r="F377" t="s">
        <v>18</v>
      </c>
      <c r="G377" t="s">
        <v>49</v>
      </c>
      <c r="H377">
        <v>2161.98</v>
      </c>
      <c r="I377">
        <v>1559.82</v>
      </c>
      <c r="J377" t="s">
        <v>34</v>
      </c>
      <c r="K377" t="s">
        <v>21</v>
      </c>
      <c r="L377">
        <v>45</v>
      </c>
      <c r="M377">
        <v>2</v>
      </c>
      <c r="N377" t="s">
        <v>22</v>
      </c>
    </row>
    <row r="378" spans="1:14" x14ac:dyDescent="0.35">
      <c r="A378" t="s">
        <v>724</v>
      </c>
      <c r="B378" t="s">
        <v>725</v>
      </c>
      <c r="C378">
        <v>2024</v>
      </c>
      <c r="D378" t="s">
        <v>16</v>
      </c>
      <c r="E378" t="s">
        <v>38</v>
      </c>
      <c r="F378" t="s">
        <v>18</v>
      </c>
      <c r="G378" t="s">
        <v>49</v>
      </c>
      <c r="H378">
        <v>713.99</v>
      </c>
      <c r="I378">
        <v>0</v>
      </c>
      <c r="J378" t="s">
        <v>28</v>
      </c>
      <c r="K378" t="s">
        <v>64</v>
      </c>
      <c r="L378">
        <v>49</v>
      </c>
      <c r="M378">
        <v>3</v>
      </c>
      <c r="N378" t="s">
        <v>30</v>
      </c>
    </row>
    <row r="379" spans="1:14" x14ac:dyDescent="0.35">
      <c r="A379" t="s">
        <v>726</v>
      </c>
      <c r="B379" t="s">
        <v>727</v>
      </c>
      <c r="C379">
        <v>2023</v>
      </c>
      <c r="D379" t="s">
        <v>85</v>
      </c>
      <c r="E379" t="s">
        <v>63</v>
      </c>
      <c r="F379" t="s">
        <v>44</v>
      </c>
      <c r="G379" t="s">
        <v>19</v>
      </c>
      <c r="H379">
        <v>2140.7600000000002</v>
      </c>
      <c r="I379">
        <v>0</v>
      </c>
      <c r="J379" t="s">
        <v>28</v>
      </c>
      <c r="K379" t="s">
        <v>21</v>
      </c>
      <c r="L379">
        <v>66</v>
      </c>
      <c r="M379">
        <v>6</v>
      </c>
      <c r="N379" t="s">
        <v>30</v>
      </c>
    </row>
    <row r="380" spans="1:14" x14ac:dyDescent="0.35">
      <c r="A380" t="s">
        <v>728</v>
      </c>
      <c r="B380" t="s">
        <v>729</v>
      </c>
      <c r="C380">
        <v>2024</v>
      </c>
      <c r="D380" t="s">
        <v>33</v>
      </c>
      <c r="E380" t="s">
        <v>17</v>
      </c>
      <c r="F380" t="s">
        <v>68</v>
      </c>
      <c r="G380" t="s">
        <v>19</v>
      </c>
      <c r="H380">
        <v>2858.6</v>
      </c>
      <c r="I380">
        <v>3362.46</v>
      </c>
      <c r="J380" t="s">
        <v>34</v>
      </c>
      <c r="K380" t="s">
        <v>82</v>
      </c>
      <c r="L380">
        <v>43</v>
      </c>
      <c r="M380">
        <v>12</v>
      </c>
      <c r="N380" t="s">
        <v>22</v>
      </c>
    </row>
    <row r="381" spans="1:14" x14ac:dyDescent="0.35">
      <c r="A381" t="s">
        <v>730</v>
      </c>
      <c r="B381" t="s">
        <v>731</v>
      </c>
      <c r="C381">
        <v>2023</v>
      </c>
      <c r="D381" t="s">
        <v>37</v>
      </c>
      <c r="E381" t="s">
        <v>38</v>
      </c>
      <c r="F381" t="s">
        <v>18</v>
      </c>
      <c r="G381" t="s">
        <v>40</v>
      </c>
      <c r="H381">
        <v>760.35</v>
      </c>
      <c r="I381">
        <v>663.19</v>
      </c>
      <c r="J381" t="s">
        <v>34</v>
      </c>
      <c r="K381" t="s">
        <v>29</v>
      </c>
      <c r="L381">
        <v>41</v>
      </c>
      <c r="M381">
        <v>6</v>
      </c>
      <c r="N381" t="s">
        <v>22</v>
      </c>
    </row>
    <row r="382" spans="1:14" x14ac:dyDescent="0.35">
      <c r="A382" t="s">
        <v>732</v>
      </c>
      <c r="B382" t="s">
        <v>733</v>
      </c>
      <c r="C382">
        <v>2024</v>
      </c>
      <c r="D382" t="s">
        <v>56</v>
      </c>
      <c r="E382" t="s">
        <v>17</v>
      </c>
      <c r="F382" t="s">
        <v>39</v>
      </c>
      <c r="G382" t="s">
        <v>19</v>
      </c>
      <c r="H382">
        <v>2355.85</v>
      </c>
      <c r="I382">
        <v>0</v>
      </c>
      <c r="J382" t="s">
        <v>28</v>
      </c>
      <c r="K382" t="s">
        <v>29</v>
      </c>
      <c r="L382">
        <v>39</v>
      </c>
      <c r="M382">
        <v>6</v>
      </c>
      <c r="N382" t="s">
        <v>30</v>
      </c>
    </row>
    <row r="383" spans="1:14" x14ac:dyDescent="0.35">
      <c r="A383" t="s">
        <v>734</v>
      </c>
      <c r="B383" t="s">
        <v>735</v>
      </c>
      <c r="C383">
        <v>2024</v>
      </c>
      <c r="D383" t="s">
        <v>48</v>
      </c>
      <c r="E383" t="s">
        <v>26</v>
      </c>
      <c r="F383" t="s">
        <v>39</v>
      </c>
      <c r="G383" t="s">
        <v>40</v>
      </c>
      <c r="H383">
        <v>2376.11</v>
      </c>
      <c r="I383">
        <v>0</v>
      </c>
      <c r="J383" t="s">
        <v>28</v>
      </c>
      <c r="K383" t="s">
        <v>77</v>
      </c>
      <c r="L383">
        <v>42</v>
      </c>
      <c r="M383">
        <v>7</v>
      </c>
      <c r="N383" t="s">
        <v>30</v>
      </c>
    </row>
    <row r="384" spans="1:14" x14ac:dyDescent="0.35">
      <c r="A384" t="s">
        <v>736</v>
      </c>
      <c r="B384" t="s">
        <v>737</v>
      </c>
      <c r="C384">
        <v>2024</v>
      </c>
      <c r="D384" t="s">
        <v>43</v>
      </c>
      <c r="E384" t="s">
        <v>17</v>
      </c>
      <c r="F384" t="s">
        <v>68</v>
      </c>
      <c r="G384" t="s">
        <v>19</v>
      </c>
      <c r="H384">
        <v>2720.08</v>
      </c>
      <c r="I384">
        <v>3177.76</v>
      </c>
      <c r="J384" t="s">
        <v>34</v>
      </c>
      <c r="K384" t="s">
        <v>64</v>
      </c>
      <c r="L384">
        <v>33</v>
      </c>
      <c r="M384">
        <v>3</v>
      </c>
      <c r="N384" t="s">
        <v>22</v>
      </c>
    </row>
    <row r="385" spans="1:14" x14ac:dyDescent="0.35">
      <c r="A385" t="s">
        <v>738</v>
      </c>
      <c r="B385" t="s">
        <v>739</v>
      </c>
      <c r="C385">
        <v>2023</v>
      </c>
      <c r="D385" t="s">
        <v>37</v>
      </c>
      <c r="E385" t="s">
        <v>17</v>
      </c>
      <c r="F385" t="s">
        <v>27</v>
      </c>
      <c r="G385" t="s">
        <v>49</v>
      </c>
      <c r="H385">
        <v>1569.41</v>
      </c>
      <c r="I385">
        <v>1250.1199999999999</v>
      </c>
      <c r="J385" t="s">
        <v>34</v>
      </c>
      <c r="K385" t="s">
        <v>82</v>
      </c>
      <c r="L385">
        <v>43</v>
      </c>
      <c r="M385">
        <v>9</v>
      </c>
      <c r="N385" t="s">
        <v>22</v>
      </c>
    </row>
    <row r="386" spans="1:14" x14ac:dyDescent="0.35">
      <c r="A386" t="s">
        <v>740</v>
      </c>
      <c r="B386" t="s">
        <v>741</v>
      </c>
      <c r="C386">
        <v>2024</v>
      </c>
      <c r="D386" t="s">
        <v>56</v>
      </c>
      <c r="E386" t="s">
        <v>17</v>
      </c>
      <c r="F386" t="s">
        <v>44</v>
      </c>
      <c r="G386" t="s">
        <v>49</v>
      </c>
      <c r="H386">
        <v>1847.59</v>
      </c>
      <c r="I386">
        <v>0</v>
      </c>
      <c r="J386" t="s">
        <v>28</v>
      </c>
      <c r="K386" t="s">
        <v>45</v>
      </c>
      <c r="L386">
        <v>44</v>
      </c>
      <c r="M386">
        <v>5</v>
      </c>
      <c r="N386" t="s">
        <v>30</v>
      </c>
    </row>
    <row r="387" spans="1:14" x14ac:dyDescent="0.35">
      <c r="A387" t="s">
        <v>742</v>
      </c>
      <c r="B387" t="s">
        <v>743</v>
      </c>
      <c r="C387">
        <v>2023</v>
      </c>
      <c r="D387" t="s">
        <v>16</v>
      </c>
      <c r="E387" t="s">
        <v>38</v>
      </c>
      <c r="F387" t="s">
        <v>18</v>
      </c>
      <c r="G387" t="s">
        <v>19</v>
      </c>
      <c r="H387">
        <v>936.44</v>
      </c>
      <c r="I387">
        <v>1043.32</v>
      </c>
      <c r="J387" t="s">
        <v>20</v>
      </c>
      <c r="K387" t="s">
        <v>71</v>
      </c>
      <c r="L387">
        <v>45</v>
      </c>
      <c r="M387">
        <v>6</v>
      </c>
      <c r="N387" t="s">
        <v>22</v>
      </c>
    </row>
    <row r="388" spans="1:14" x14ac:dyDescent="0.35">
      <c r="A388" t="s">
        <v>744</v>
      </c>
      <c r="B388" t="s">
        <v>745</v>
      </c>
      <c r="C388">
        <v>2023</v>
      </c>
      <c r="D388" t="s">
        <v>85</v>
      </c>
      <c r="E388" t="s">
        <v>26</v>
      </c>
      <c r="F388" t="s">
        <v>27</v>
      </c>
      <c r="G388" t="s">
        <v>49</v>
      </c>
      <c r="H388">
        <v>1854.67</v>
      </c>
      <c r="I388">
        <v>0</v>
      </c>
      <c r="J388" t="s">
        <v>28</v>
      </c>
      <c r="K388" t="s">
        <v>57</v>
      </c>
      <c r="L388">
        <v>65</v>
      </c>
      <c r="M388">
        <v>3</v>
      </c>
      <c r="N388" t="s">
        <v>30</v>
      </c>
    </row>
    <row r="389" spans="1:14" x14ac:dyDescent="0.35">
      <c r="A389" t="s">
        <v>746</v>
      </c>
      <c r="B389" t="s">
        <v>747</v>
      </c>
      <c r="C389">
        <v>2023</v>
      </c>
      <c r="D389" t="s">
        <v>52</v>
      </c>
      <c r="E389" t="s">
        <v>53</v>
      </c>
      <c r="F389" t="s">
        <v>68</v>
      </c>
      <c r="G389" t="s">
        <v>40</v>
      </c>
      <c r="H389">
        <v>1746.53</v>
      </c>
      <c r="I389">
        <v>0</v>
      </c>
      <c r="J389" t="s">
        <v>28</v>
      </c>
      <c r="K389" t="s">
        <v>82</v>
      </c>
      <c r="L389">
        <v>58</v>
      </c>
      <c r="M389">
        <v>4</v>
      </c>
      <c r="N389" t="s">
        <v>30</v>
      </c>
    </row>
    <row r="390" spans="1:14" x14ac:dyDescent="0.35">
      <c r="A390" t="s">
        <v>748</v>
      </c>
      <c r="B390" t="s">
        <v>749</v>
      </c>
      <c r="C390">
        <v>2023</v>
      </c>
      <c r="D390" t="s">
        <v>43</v>
      </c>
      <c r="E390" t="s">
        <v>53</v>
      </c>
      <c r="F390" t="s">
        <v>18</v>
      </c>
      <c r="G390" t="s">
        <v>49</v>
      </c>
      <c r="H390">
        <v>1424.89</v>
      </c>
      <c r="I390">
        <v>0</v>
      </c>
      <c r="J390" t="s">
        <v>28</v>
      </c>
      <c r="K390" t="s">
        <v>71</v>
      </c>
      <c r="L390">
        <v>41</v>
      </c>
      <c r="M390">
        <v>3</v>
      </c>
      <c r="N390" t="s">
        <v>30</v>
      </c>
    </row>
    <row r="391" spans="1:14" x14ac:dyDescent="0.35">
      <c r="A391" t="s">
        <v>750</v>
      </c>
      <c r="B391" t="s">
        <v>751</v>
      </c>
      <c r="C391">
        <v>2023</v>
      </c>
      <c r="D391" t="s">
        <v>25</v>
      </c>
      <c r="E391" t="s">
        <v>17</v>
      </c>
      <c r="F391" t="s">
        <v>39</v>
      </c>
      <c r="G391" t="s">
        <v>19</v>
      </c>
      <c r="H391">
        <v>2516.3000000000002</v>
      </c>
      <c r="I391">
        <v>0</v>
      </c>
      <c r="J391" t="s">
        <v>28</v>
      </c>
      <c r="K391" t="s">
        <v>29</v>
      </c>
      <c r="L391">
        <v>67</v>
      </c>
      <c r="M391">
        <v>10</v>
      </c>
      <c r="N391" t="s">
        <v>30</v>
      </c>
    </row>
    <row r="392" spans="1:14" x14ac:dyDescent="0.35">
      <c r="A392" t="s">
        <v>752</v>
      </c>
      <c r="B392" t="s">
        <v>753</v>
      </c>
      <c r="C392">
        <v>2023</v>
      </c>
      <c r="D392" t="s">
        <v>37</v>
      </c>
      <c r="E392" t="s">
        <v>53</v>
      </c>
      <c r="F392" t="s">
        <v>68</v>
      </c>
      <c r="G392" t="s">
        <v>49</v>
      </c>
      <c r="H392">
        <v>1442.49</v>
      </c>
      <c r="I392">
        <v>0</v>
      </c>
      <c r="J392" t="s">
        <v>28</v>
      </c>
      <c r="K392" t="s">
        <v>45</v>
      </c>
      <c r="L392">
        <v>48</v>
      </c>
      <c r="M392">
        <v>3</v>
      </c>
      <c r="N392" t="s">
        <v>30</v>
      </c>
    </row>
    <row r="393" spans="1:14" x14ac:dyDescent="0.35">
      <c r="A393" t="s">
        <v>754</v>
      </c>
      <c r="B393" t="s">
        <v>755</v>
      </c>
      <c r="C393">
        <v>2023</v>
      </c>
      <c r="D393" t="s">
        <v>67</v>
      </c>
      <c r="E393" t="s">
        <v>53</v>
      </c>
      <c r="F393" t="s">
        <v>68</v>
      </c>
      <c r="G393" t="s">
        <v>49</v>
      </c>
      <c r="H393">
        <v>1606.44</v>
      </c>
      <c r="I393">
        <v>0</v>
      </c>
      <c r="J393" t="s">
        <v>28</v>
      </c>
      <c r="K393" t="s">
        <v>21</v>
      </c>
      <c r="L393">
        <v>64</v>
      </c>
      <c r="M393">
        <v>5</v>
      </c>
      <c r="N393" t="s">
        <v>30</v>
      </c>
    </row>
    <row r="394" spans="1:14" x14ac:dyDescent="0.35">
      <c r="A394" t="s">
        <v>756</v>
      </c>
      <c r="B394" t="s">
        <v>220</v>
      </c>
      <c r="C394">
        <v>2023</v>
      </c>
      <c r="D394" t="s">
        <v>33</v>
      </c>
      <c r="E394" t="s">
        <v>63</v>
      </c>
      <c r="F394" t="s">
        <v>18</v>
      </c>
      <c r="G394" t="s">
        <v>49</v>
      </c>
      <c r="H394">
        <v>1302.21</v>
      </c>
      <c r="I394">
        <v>1065.3399999999999</v>
      </c>
      <c r="J394" t="s">
        <v>34</v>
      </c>
      <c r="K394" t="s">
        <v>82</v>
      </c>
      <c r="L394">
        <v>34</v>
      </c>
      <c r="M394">
        <v>12</v>
      </c>
      <c r="N394" t="s">
        <v>22</v>
      </c>
    </row>
    <row r="395" spans="1:14" x14ac:dyDescent="0.35">
      <c r="A395" t="s">
        <v>757</v>
      </c>
      <c r="B395" t="s">
        <v>758</v>
      </c>
      <c r="C395">
        <v>2024</v>
      </c>
      <c r="D395" t="s">
        <v>37</v>
      </c>
      <c r="E395" t="s">
        <v>38</v>
      </c>
      <c r="F395" t="s">
        <v>39</v>
      </c>
      <c r="G395" t="s">
        <v>49</v>
      </c>
      <c r="H395">
        <v>657.98</v>
      </c>
      <c r="I395">
        <v>0</v>
      </c>
      <c r="J395" t="s">
        <v>28</v>
      </c>
      <c r="K395" t="s">
        <v>64</v>
      </c>
      <c r="L395">
        <v>50</v>
      </c>
      <c r="M395">
        <v>5</v>
      </c>
      <c r="N395" t="s">
        <v>30</v>
      </c>
    </row>
    <row r="396" spans="1:14" x14ac:dyDescent="0.35">
      <c r="A396" t="s">
        <v>759</v>
      </c>
      <c r="B396" t="s">
        <v>760</v>
      </c>
      <c r="C396">
        <v>2023</v>
      </c>
      <c r="D396" t="s">
        <v>60</v>
      </c>
      <c r="E396" t="s">
        <v>53</v>
      </c>
      <c r="F396" t="s">
        <v>27</v>
      </c>
      <c r="G396" t="s">
        <v>19</v>
      </c>
      <c r="H396">
        <v>2294.7800000000002</v>
      </c>
      <c r="I396">
        <v>2452.0500000000002</v>
      </c>
      <c r="J396" t="s">
        <v>34</v>
      </c>
      <c r="K396" t="s">
        <v>82</v>
      </c>
      <c r="L396">
        <v>29</v>
      </c>
      <c r="M396">
        <v>3</v>
      </c>
      <c r="N396" t="s">
        <v>22</v>
      </c>
    </row>
    <row r="397" spans="1:14" x14ac:dyDescent="0.35">
      <c r="A397" t="s">
        <v>761</v>
      </c>
      <c r="B397" t="s">
        <v>458</v>
      </c>
      <c r="C397">
        <v>2023</v>
      </c>
      <c r="D397" t="s">
        <v>37</v>
      </c>
      <c r="E397" t="s">
        <v>53</v>
      </c>
      <c r="F397" t="s">
        <v>44</v>
      </c>
      <c r="G397" t="s">
        <v>40</v>
      </c>
      <c r="H397">
        <v>1837.14</v>
      </c>
      <c r="I397">
        <v>0</v>
      </c>
      <c r="J397" t="s">
        <v>28</v>
      </c>
      <c r="K397" t="s">
        <v>64</v>
      </c>
      <c r="L397">
        <v>44</v>
      </c>
      <c r="M397">
        <v>4</v>
      </c>
      <c r="N397" t="s">
        <v>30</v>
      </c>
    </row>
    <row r="398" spans="1:14" x14ac:dyDescent="0.35">
      <c r="A398" t="s">
        <v>762</v>
      </c>
      <c r="B398" t="s">
        <v>763</v>
      </c>
      <c r="C398">
        <v>2023</v>
      </c>
      <c r="D398" t="s">
        <v>48</v>
      </c>
      <c r="E398" t="s">
        <v>26</v>
      </c>
      <c r="F398" t="s">
        <v>68</v>
      </c>
      <c r="G398" t="s">
        <v>49</v>
      </c>
      <c r="H398">
        <v>1902.41</v>
      </c>
      <c r="I398">
        <v>1704.19</v>
      </c>
      <c r="J398" t="s">
        <v>34</v>
      </c>
      <c r="K398" t="s">
        <v>45</v>
      </c>
      <c r="L398">
        <v>26</v>
      </c>
      <c r="M398">
        <v>8</v>
      </c>
      <c r="N398" t="s">
        <v>22</v>
      </c>
    </row>
    <row r="399" spans="1:14" x14ac:dyDescent="0.35">
      <c r="A399" t="s">
        <v>764</v>
      </c>
      <c r="B399" t="s">
        <v>638</v>
      </c>
      <c r="C399">
        <v>2024</v>
      </c>
      <c r="D399" t="s">
        <v>56</v>
      </c>
      <c r="E399" t="s">
        <v>26</v>
      </c>
      <c r="F399" t="s">
        <v>44</v>
      </c>
      <c r="G399" t="s">
        <v>40</v>
      </c>
      <c r="H399">
        <v>2256.52</v>
      </c>
      <c r="I399">
        <v>2094.64</v>
      </c>
      <c r="J399" t="s">
        <v>34</v>
      </c>
      <c r="K399" t="s">
        <v>82</v>
      </c>
      <c r="L399">
        <v>32</v>
      </c>
      <c r="M399">
        <v>10</v>
      </c>
      <c r="N399" t="s">
        <v>22</v>
      </c>
    </row>
    <row r="400" spans="1:14" x14ac:dyDescent="0.35">
      <c r="A400" t="s">
        <v>765</v>
      </c>
      <c r="B400" t="s">
        <v>766</v>
      </c>
      <c r="C400">
        <v>2023</v>
      </c>
      <c r="D400" t="s">
        <v>67</v>
      </c>
      <c r="E400" t="s">
        <v>63</v>
      </c>
      <c r="F400" t="s">
        <v>44</v>
      </c>
      <c r="G400" t="s">
        <v>49</v>
      </c>
      <c r="H400">
        <v>1226.78</v>
      </c>
      <c r="I400">
        <v>0</v>
      </c>
      <c r="J400" t="s">
        <v>28</v>
      </c>
      <c r="K400" t="s">
        <v>45</v>
      </c>
      <c r="L400">
        <v>56</v>
      </c>
      <c r="M400">
        <v>5</v>
      </c>
      <c r="N400" t="s">
        <v>30</v>
      </c>
    </row>
    <row r="401" spans="1:14" x14ac:dyDescent="0.35">
      <c r="A401" t="s">
        <v>767</v>
      </c>
      <c r="B401" t="s">
        <v>768</v>
      </c>
      <c r="C401">
        <v>2023</v>
      </c>
      <c r="D401" t="s">
        <v>25</v>
      </c>
      <c r="E401" t="s">
        <v>38</v>
      </c>
      <c r="F401" t="s">
        <v>44</v>
      </c>
      <c r="G401" t="s">
        <v>19</v>
      </c>
      <c r="H401">
        <v>1095.3599999999999</v>
      </c>
      <c r="I401">
        <v>0</v>
      </c>
      <c r="J401" t="s">
        <v>28</v>
      </c>
      <c r="K401" t="s">
        <v>64</v>
      </c>
      <c r="L401">
        <v>56</v>
      </c>
      <c r="M401">
        <v>10</v>
      </c>
      <c r="N401" t="s">
        <v>30</v>
      </c>
    </row>
    <row r="402" spans="1:14" x14ac:dyDescent="0.35">
      <c r="A402" t="s">
        <v>769</v>
      </c>
      <c r="B402" t="s">
        <v>770</v>
      </c>
      <c r="C402">
        <v>2023</v>
      </c>
      <c r="D402" t="s">
        <v>33</v>
      </c>
      <c r="E402" t="s">
        <v>63</v>
      </c>
      <c r="F402" t="s">
        <v>39</v>
      </c>
      <c r="G402" t="s">
        <v>40</v>
      </c>
      <c r="H402">
        <v>1468.12</v>
      </c>
      <c r="I402">
        <v>0</v>
      </c>
      <c r="J402" t="s">
        <v>28</v>
      </c>
      <c r="K402" t="s">
        <v>21</v>
      </c>
      <c r="L402">
        <v>58</v>
      </c>
      <c r="M402">
        <v>9</v>
      </c>
      <c r="N402" t="s">
        <v>30</v>
      </c>
    </row>
    <row r="403" spans="1:14" x14ac:dyDescent="0.35">
      <c r="A403" t="s">
        <v>771</v>
      </c>
      <c r="B403" t="s">
        <v>772</v>
      </c>
      <c r="C403">
        <v>2024</v>
      </c>
      <c r="D403" t="s">
        <v>74</v>
      </c>
      <c r="E403" t="s">
        <v>53</v>
      </c>
      <c r="F403" t="s">
        <v>44</v>
      </c>
      <c r="G403" t="s">
        <v>19</v>
      </c>
      <c r="H403">
        <v>2394.13</v>
      </c>
      <c r="I403">
        <v>2554.88</v>
      </c>
      <c r="J403" t="s">
        <v>34</v>
      </c>
      <c r="K403" t="s">
        <v>71</v>
      </c>
      <c r="L403">
        <v>45</v>
      </c>
      <c r="M403">
        <v>6</v>
      </c>
      <c r="N403" t="s">
        <v>22</v>
      </c>
    </row>
    <row r="404" spans="1:14" x14ac:dyDescent="0.35">
      <c r="A404" t="s">
        <v>773</v>
      </c>
      <c r="B404" t="s">
        <v>774</v>
      </c>
      <c r="C404">
        <v>2023</v>
      </c>
      <c r="D404" t="s">
        <v>52</v>
      </c>
      <c r="E404" t="s">
        <v>17</v>
      </c>
      <c r="F404" t="s">
        <v>68</v>
      </c>
      <c r="G404" t="s">
        <v>40</v>
      </c>
      <c r="H404">
        <v>2016.27</v>
      </c>
      <c r="I404">
        <v>0</v>
      </c>
      <c r="J404" t="s">
        <v>28</v>
      </c>
      <c r="K404" t="s">
        <v>29</v>
      </c>
      <c r="L404">
        <v>44</v>
      </c>
      <c r="M404">
        <v>11</v>
      </c>
      <c r="N404" t="s">
        <v>30</v>
      </c>
    </row>
    <row r="405" spans="1:14" x14ac:dyDescent="0.35">
      <c r="A405" t="s">
        <v>775</v>
      </c>
      <c r="B405" t="s">
        <v>679</v>
      </c>
      <c r="C405">
        <v>2024</v>
      </c>
      <c r="D405" t="s">
        <v>48</v>
      </c>
      <c r="E405" t="s">
        <v>38</v>
      </c>
      <c r="F405" t="s">
        <v>18</v>
      </c>
      <c r="G405" t="s">
        <v>49</v>
      </c>
      <c r="H405">
        <v>614.23</v>
      </c>
      <c r="I405">
        <v>0</v>
      </c>
      <c r="J405" t="s">
        <v>28</v>
      </c>
      <c r="K405" t="s">
        <v>29</v>
      </c>
      <c r="L405">
        <v>38</v>
      </c>
      <c r="M405">
        <v>12</v>
      </c>
      <c r="N405" t="s">
        <v>30</v>
      </c>
    </row>
    <row r="406" spans="1:14" x14ac:dyDescent="0.35">
      <c r="A406" t="s">
        <v>776</v>
      </c>
      <c r="B406" t="s">
        <v>558</v>
      </c>
      <c r="C406">
        <v>2024</v>
      </c>
      <c r="D406" t="s">
        <v>67</v>
      </c>
      <c r="E406" t="s">
        <v>26</v>
      </c>
      <c r="F406" t="s">
        <v>39</v>
      </c>
      <c r="G406" t="s">
        <v>40</v>
      </c>
      <c r="H406">
        <v>2273.41</v>
      </c>
      <c r="I406">
        <v>2042.04</v>
      </c>
      <c r="J406" t="s">
        <v>20</v>
      </c>
      <c r="K406" t="s">
        <v>64</v>
      </c>
      <c r="L406">
        <v>55</v>
      </c>
      <c r="M406">
        <v>5</v>
      </c>
      <c r="N406" t="s">
        <v>22</v>
      </c>
    </row>
    <row r="407" spans="1:14" x14ac:dyDescent="0.35">
      <c r="A407" t="s">
        <v>777</v>
      </c>
      <c r="B407" t="s">
        <v>778</v>
      </c>
      <c r="C407">
        <v>2024</v>
      </c>
      <c r="D407" t="s">
        <v>52</v>
      </c>
      <c r="E407" t="s">
        <v>17</v>
      </c>
      <c r="F407" t="s">
        <v>44</v>
      </c>
      <c r="G407" t="s">
        <v>49</v>
      </c>
      <c r="H407">
        <v>1622.95</v>
      </c>
      <c r="I407">
        <v>1194.27</v>
      </c>
      <c r="J407" t="s">
        <v>34</v>
      </c>
      <c r="K407" t="s">
        <v>77</v>
      </c>
      <c r="L407">
        <v>32</v>
      </c>
      <c r="M407">
        <v>3</v>
      </c>
      <c r="N407" t="s">
        <v>22</v>
      </c>
    </row>
    <row r="408" spans="1:14" x14ac:dyDescent="0.35">
      <c r="A408" t="s">
        <v>779</v>
      </c>
      <c r="B408" t="s">
        <v>780</v>
      </c>
      <c r="C408">
        <v>2024</v>
      </c>
      <c r="D408" t="s">
        <v>25</v>
      </c>
      <c r="E408" t="s">
        <v>17</v>
      </c>
      <c r="F408" t="s">
        <v>18</v>
      </c>
      <c r="G408" t="s">
        <v>49</v>
      </c>
      <c r="H408">
        <v>1600.33</v>
      </c>
      <c r="I408">
        <v>1333.78</v>
      </c>
      <c r="J408" t="s">
        <v>34</v>
      </c>
      <c r="K408" t="s">
        <v>64</v>
      </c>
      <c r="L408">
        <v>49</v>
      </c>
      <c r="M408">
        <v>3</v>
      </c>
      <c r="N408" t="s">
        <v>22</v>
      </c>
    </row>
    <row r="409" spans="1:14" x14ac:dyDescent="0.35">
      <c r="A409" t="s">
        <v>781</v>
      </c>
      <c r="B409" t="s">
        <v>782</v>
      </c>
      <c r="C409">
        <v>2023</v>
      </c>
      <c r="D409" t="s">
        <v>60</v>
      </c>
      <c r="E409" t="s">
        <v>63</v>
      </c>
      <c r="F409" t="s">
        <v>39</v>
      </c>
      <c r="G409" t="s">
        <v>49</v>
      </c>
      <c r="H409">
        <v>1205.82</v>
      </c>
      <c r="I409">
        <v>913.18</v>
      </c>
      <c r="J409" t="s">
        <v>34</v>
      </c>
      <c r="K409" t="s">
        <v>29</v>
      </c>
      <c r="L409">
        <v>62</v>
      </c>
      <c r="M409">
        <v>6</v>
      </c>
      <c r="N409" t="s">
        <v>22</v>
      </c>
    </row>
    <row r="410" spans="1:14" x14ac:dyDescent="0.35">
      <c r="A410" t="s">
        <v>783</v>
      </c>
      <c r="B410" t="s">
        <v>784</v>
      </c>
      <c r="C410">
        <v>2023</v>
      </c>
      <c r="D410" t="s">
        <v>33</v>
      </c>
      <c r="E410" t="s">
        <v>53</v>
      </c>
      <c r="F410" t="s">
        <v>44</v>
      </c>
      <c r="G410" t="s">
        <v>40</v>
      </c>
      <c r="H410">
        <v>1647.22</v>
      </c>
      <c r="I410">
        <v>0</v>
      </c>
      <c r="J410" t="s">
        <v>28</v>
      </c>
      <c r="K410" t="s">
        <v>77</v>
      </c>
      <c r="L410">
        <v>28</v>
      </c>
      <c r="M410">
        <v>6</v>
      </c>
      <c r="N410" t="s">
        <v>30</v>
      </c>
    </row>
    <row r="411" spans="1:14" x14ac:dyDescent="0.35">
      <c r="A411" t="s">
        <v>785</v>
      </c>
      <c r="B411" t="s">
        <v>786</v>
      </c>
      <c r="C411">
        <v>2023</v>
      </c>
      <c r="D411" t="s">
        <v>52</v>
      </c>
      <c r="E411" t="s">
        <v>63</v>
      </c>
      <c r="F411" t="s">
        <v>44</v>
      </c>
      <c r="G411" t="s">
        <v>19</v>
      </c>
      <c r="H411">
        <v>1819.6</v>
      </c>
      <c r="I411">
        <v>0</v>
      </c>
      <c r="J411" t="s">
        <v>28</v>
      </c>
      <c r="K411" t="s">
        <v>82</v>
      </c>
      <c r="L411">
        <v>27</v>
      </c>
      <c r="M411">
        <v>4</v>
      </c>
      <c r="N411" t="s">
        <v>30</v>
      </c>
    </row>
    <row r="412" spans="1:14" x14ac:dyDescent="0.35">
      <c r="A412" t="s">
        <v>787</v>
      </c>
      <c r="B412" t="s">
        <v>94</v>
      </c>
      <c r="C412">
        <v>2024</v>
      </c>
      <c r="D412" t="s">
        <v>37</v>
      </c>
      <c r="E412" t="s">
        <v>63</v>
      </c>
      <c r="F412" t="s">
        <v>44</v>
      </c>
      <c r="G412" t="s">
        <v>49</v>
      </c>
      <c r="H412">
        <v>1399.78</v>
      </c>
      <c r="I412">
        <v>0</v>
      </c>
      <c r="J412" t="s">
        <v>28</v>
      </c>
      <c r="K412" t="s">
        <v>29</v>
      </c>
      <c r="L412">
        <v>42</v>
      </c>
      <c r="M412">
        <v>7</v>
      </c>
      <c r="N412" t="s">
        <v>30</v>
      </c>
    </row>
    <row r="413" spans="1:14" x14ac:dyDescent="0.35">
      <c r="A413" t="s">
        <v>788</v>
      </c>
      <c r="B413" t="s">
        <v>723</v>
      </c>
      <c r="C413">
        <v>2024</v>
      </c>
      <c r="D413" t="s">
        <v>52</v>
      </c>
      <c r="E413" t="s">
        <v>17</v>
      </c>
      <c r="F413" t="s">
        <v>68</v>
      </c>
      <c r="G413" t="s">
        <v>49</v>
      </c>
      <c r="H413">
        <v>1530.46</v>
      </c>
      <c r="I413">
        <v>0</v>
      </c>
      <c r="J413" t="s">
        <v>28</v>
      </c>
      <c r="K413" t="s">
        <v>82</v>
      </c>
      <c r="L413">
        <v>50</v>
      </c>
      <c r="M413">
        <v>11</v>
      </c>
      <c r="N413" t="s">
        <v>30</v>
      </c>
    </row>
    <row r="414" spans="1:14" x14ac:dyDescent="0.35">
      <c r="A414" t="s">
        <v>789</v>
      </c>
      <c r="B414" t="s">
        <v>421</v>
      </c>
      <c r="C414">
        <v>2023</v>
      </c>
      <c r="D414" t="s">
        <v>60</v>
      </c>
      <c r="E414" t="s">
        <v>17</v>
      </c>
      <c r="F414" t="s">
        <v>68</v>
      </c>
      <c r="G414" t="s">
        <v>49</v>
      </c>
      <c r="H414">
        <v>1836.21</v>
      </c>
      <c r="I414">
        <v>0</v>
      </c>
      <c r="J414" t="s">
        <v>28</v>
      </c>
      <c r="K414" t="s">
        <v>71</v>
      </c>
      <c r="L414">
        <v>36</v>
      </c>
      <c r="M414">
        <v>6</v>
      </c>
      <c r="N414" t="s">
        <v>30</v>
      </c>
    </row>
    <row r="415" spans="1:14" x14ac:dyDescent="0.35">
      <c r="A415" t="s">
        <v>790</v>
      </c>
      <c r="B415" t="s">
        <v>567</v>
      </c>
      <c r="C415">
        <v>2024</v>
      </c>
      <c r="D415" t="s">
        <v>52</v>
      </c>
      <c r="E415" t="s">
        <v>53</v>
      </c>
      <c r="F415" t="s">
        <v>68</v>
      </c>
      <c r="G415" t="s">
        <v>19</v>
      </c>
      <c r="H415">
        <v>2536.23</v>
      </c>
      <c r="I415">
        <v>0</v>
      </c>
      <c r="J415" t="s">
        <v>28</v>
      </c>
      <c r="K415" t="s">
        <v>71</v>
      </c>
      <c r="L415">
        <v>33</v>
      </c>
      <c r="M415">
        <v>5</v>
      </c>
      <c r="N415" t="s">
        <v>30</v>
      </c>
    </row>
    <row r="416" spans="1:14" x14ac:dyDescent="0.35">
      <c r="A416" t="s">
        <v>791</v>
      </c>
      <c r="B416" t="s">
        <v>792</v>
      </c>
      <c r="C416">
        <v>2023</v>
      </c>
      <c r="D416" t="s">
        <v>67</v>
      </c>
      <c r="E416" t="s">
        <v>17</v>
      </c>
      <c r="F416" t="s">
        <v>18</v>
      </c>
      <c r="G416" t="s">
        <v>40</v>
      </c>
      <c r="H416">
        <v>2114.38</v>
      </c>
      <c r="I416">
        <v>1945.91</v>
      </c>
      <c r="J416" t="s">
        <v>88</v>
      </c>
      <c r="K416" t="s">
        <v>71</v>
      </c>
      <c r="L416">
        <v>31</v>
      </c>
      <c r="M416">
        <v>8</v>
      </c>
      <c r="N416" t="s">
        <v>22</v>
      </c>
    </row>
    <row r="417" spans="1:14" x14ac:dyDescent="0.35">
      <c r="A417" t="s">
        <v>793</v>
      </c>
      <c r="B417" t="s">
        <v>333</v>
      </c>
      <c r="C417">
        <v>2024</v>
      </c>
      <c r="D417" t="s">
        <v>67</v>
      </c>
      <c r="E417" t="s">
        <v>38</v>
      </c>
      <c r="F417" t="s">
        <v>27</v>
      </c>
      <c r="G417" t="s">
        <v>49</v>
      </c>
      <c r="H417">
        <v>614.82000000000005</v>
      </c>
      <c r="I417">
        <v>543.51</v>
      </c>
      <c r="J417" t="s">
        <v>20</v>
      </c>
      <c r="K417" t="s">
        <v>71</v>
      </c>
      <c r="L417">
        <v>59</v>
      </c>
      <c r="M417">
        <v>5</v>
      </c>
      <c r="N417" t="s">
        <v>22</v>
      </c>
    </row>
    <row r="418" spans="1:14" x14ac:dyDescent="0.35">
      <c r="A418" t="s">
        <v>794</v>
      </c>
      <c r="B418" t="s">
        <v>795</v>
      </c>
      <c r="C418">
        <v>2024</v>
      </c>
      <c r="D418" t="s">
        <v>56</v>
      </c>
      <c r="E418" t="s">
        <v>38</v>
      </c>
      <c r="F418" t="s">
        <v>44</v>
      </c>
      <c r="G418" t="s">
        <v>19</v>
      </c>
      <c r="H418">
        <v>1000.88</v>
      </c>
      <c r="I418">
        <v>0</v>
      </c>
      <c r="J418" t="s">
        <v>28</v>
      </c>
      <c r="K418" t="s">
        <v>29</v>
      </c>
      <c r="L418">
        <v>27</v>
      </c>
      <c r="M418">
        <v>11</v>
      </c>
      <c r="N418" t="s">
        <v>30</v>
      </c>
    </row>
    <row r="419" spans="1:14" x14ac:dyDescent="0.35">
      <c r="A419" t="s">
        <v>796</v>
      </c>
      <c r="B419" t="s">
        <v>616</v>
      </c>
      <c r="C419">
        <v>2024</v>
      </c>
      <c r="D419" t="s">
        <v>60</v>
      </c>
      <c r="E419" t="s">
        <v>63</v>
      </c>
      <c r="F419" t="s">
        <v>44</v>
      </c>
      <c r="G419" t="s">
        <v>40</v>
      </c>
      <c r="H419">
        <v>1507.85</v>
      </c>
      <c r="I419">
        <v>0</v>
      </c>
      <c r="J419" t="s">
        <v>28</v>
      </c>
      <c r="K419" t="s">
        <v>64</v>
      </c>
      <c r="L419">
        <v>39</v>
      </c>
      <c r="M419">
        <v>6</v>
      </c>
      <c r="N419" t="s">
        <v>30</v>
      </c>
    </row>
    <row r="420" spans="1:14" x14ac:dyDescent="0.35">
      <c r="A420" t="s">
        <v>797</v>
      </c>
      <c r="B420" t="s">
        <v>716</v>
      </c>
      <c r="C420">
        <v>2024</v>
      </c>
      <c r="D420" t="s">
        <v>16</v>
      </c>
      <c r="E420" t="s">
        <v>38</v>
      </c>
      <c r="F420" t="s">
        <v>39</v>
      </c>
      <c r="G420" t="s">
        <v>40</v>
      </c>
      <c r="H420">
        <v>737.31</v>
      </c>
      <c r="I420">
        <v>672.95</v>
      </c>
      <c r="J420" t="s">
        <v>34</v>
      </c>
      <c r="K420" t="s">
        <v>71</v>
      </c>
      <c r="L420">
        <v>24</v>
      </c>
      <c r="M420">
        <v>11</v>
      </c>
      <c r="N420" t="s">
        <v>22</v>
      </c>
    </row>
    <row r="421" spans="1:14" x14ac:dyDescent="0.35">
      <c r="A421" t="s">
        <v>798</v>
      </c>
      <c r="B421" t="s">
        <v>677</v>
      </c>
      <c r="C421">
        <v>2024</v>
      </c>
      <c r="D421" t="s">
        <v>56</v>
      </c>
      <c r="E421" t="s">
        <v>53</v>
      </c>
      <c r="F421" t="s">
        <v>18</v>
      </c>
      <c r="G421" t="s">
        <v>40</v>
      </c>
      <c r="H421">
        <v>1906.37</v>
      </c>
      <c r="I421">
        <v>0</v>
      </c>
      <c r="J421" t="s">
        <v>28</v>
      </c>
      <c r="K421" t="s">
        <v>71</v>
      </c>
      <c r="L421">
        <v>33</v>
      </c>
      <c r="M421">
        <v>2</v>
      </c>
      <c r="N421" t="s">
        <v>30</v>
      </c>
    </row>
    <row r="422" spans="1:14" x14ac:dyDescent="0.35">
      <c r="A422" t="s">
        <v>799</v>
      </c>
      <c r="B422" t="s">
        <v>800</v>
      </c>
      <c r="C422">
        <v>2024</v>
      </c>
      <c r="D422" t="s">
        <v>85</v>
      </c>
      <c r="E422" t="s">
        <v>17</v>
      </c>
      <c r="F422" t="s">
        <v>27</v>
      </c>
      <c r="G422" t="s">
        <v>49</v>
      </c>
      <c r="H422">
        <v>1733.4</v>
      </c>
      <c r="I422">
        <v>0</v>
      </c>
      <c r="J422" t="s">
        <v>28</v>
      </c>
      <c r="K422" t="s">
        <v>21</v>
      </c>
      <c r="L422">
        <v>50</v>
      </c>
      <c r="M422">
        <v>5</v>
      </c>
      <c r="N422" t="s">
        <v>30</v>
      </c>
    </row>
    <row r="423" spans="1:14" x14ac:dyDescent="0.35">
      <c r="A423" t="s">
        <v>801</v>
      </c>
      <c r="B423" t="s">
        <v>411</v>
      </c>
      <c r="C423">
        <v>2023</v>
      </c>
      <c r="D423" t="s">
        <v>33</v>
      </c>
      <c r="E423" t="s">
        <v>38</v>
      </c>
      <c r="F423" t="s">
        <v>68</v>
      </c>
      <c r="G423" t="s">
        <v>49</v>
      </c>
      <c r="H423">
        <v>657.21</v>
      </c>
      <c r="I423">
        <v>551.58000000000004</v>
      </c>
      <c r="J423" t="s">
        <v>34</v>
      </c>
      <c r="K423" t="s">
        <v>21</v>
      </c>
      <c r="L423">
        <v>61</v>
      </c>
      <c r="M423">
        <v>11</v>
      </c>
      <c r="N423" t="s">
        <v>22</v>
      </c>
    </row>
    <row r="424" spans="1:14" x14ac:dyDescent="0.35">
      <c r="A424" t="s">
        <v>802</v>
      </c>
      <c r="B424" t="s">
        <v>803</v>
      </c>
      <c r="C424">
        <v>2023</v>
      </c>
      <c r="D424" t="s">
        <v>25</v>
      </c>
      <c r="E424" t="s">
        <v>63</v>
      </c>
      <c r="F424" t="s">
        <v>68</v>
      </c>
      <c r="G424" t="s">
        <v>49</v>
      </c>
      <c r="H424">
        <v>1234.28</v>
      </c>
      <c r="I424">
        <v>0</v>
      </c>
      <c r="J424" t="s">
        <v>28</v>
      </c>
      <c r="K424" t="s">
        <v>21</v>
      </c>
      <c r="L424">
        <v>61</v>
      </c>
      <c r="M424">
        <v>6</v>
      </c>
      <c r="N424" t="s">
        <v>30</v>
      </c>
    </row>
    <row r="425" spans="1:14" x14ac:dyDescent="0.35">
      <c r="A425" t="s">
        <v>804</v>
      </c>
      <c r="B425" t="s">
        <v>47</v>
      </c>
      <c r="C425">
        <v>2024</v>
      </c>
      <c r="D425" t="s">
        <v>48</v>
      </c>
      <c r="E425" t="s">
        <v>38</v>
      </c>
      <c r="F425" t="s">
        <v>39</v>
      </c>
      <c r="G425" t="s">
        <v>49</v>
      </c>
      <c r="H425">
        <v>624.91999999999996</v>
      </c>
      <c r="I425">
        <v>0</v>
      </c>
      <c r="J425" t="s">
        <v>28</v>
      </c>
      <c r="K425" t="s">
        <v>77</v>
      </c>
      <c r="L425">
        <v>32</v>
      </c>
      <c r="M425">
        <v>9</v>
      </c>
      <c r="N425" t="s">
        <v>30</v>
      </c>
    </row>
    <row r="426" spans="1:14" x14ac:dyDescent="0.35">
      <c r="A426" t="s">
        <v>805</v>
      </c>
      <c r="B426" t="s">
        <v>551</v>
      </c>
      <c r="C426">
        <v>2024</v>
      </c>
      <c r="D426" t="s">
        <v>37</v>
      </c>
      <c r="E426" t="s">
        <v>63</v>
      </c>
      <c r="F426" t="s">
        <v>27</v>
      </c>
      <c r="G426" t="s">
        <v>40</v>
      </c>
      <c r="H426">
        <v>1445.94</v>
      </c>
      <c r="I426">
        <v>1365.28</v>
      </c>
      <c r="J426" t="s">
        <v>20</v>
      </c>
      <c r="K426" t="s">
        <v>57</v>
      </c>
      <c r="L426">
        <v>72</v>
      </c>
      <c r="M426">
        <v>9</v>
      </c>
      <c r="N426" t="s">
        <v>22</v>
      </c>
    </row>
    <row r="427" spans="1:14" x14ac:dyDescent="0.35">
      <c r="A427" t="s">
        <v>806</v>
      </c>
      <c r="B427" t="s">
        <v>807</v>
      </c>
      <c r="C427">
        <v>2024</v>
      </c>
      <c r="D427" t="s">
        <v>52</v>
      </c>
      <c r="E427" t="s">
        <v>53</v>
      </c>
      <c r="F427" t="s">
        <v>27</v>
      </c>
      <c r="G427" t="s">
        <v>19</v>
      </c>
      <c r="H427">
        <v>2281.13</v>
      </c>
      <c r="I427">
        <v>2705.85</v>
      </c>
      <c r="J427" t="s">
        <v>20</v>
      </c>
      <c r="K427" t="s">
        <v>77</v>
      </c>
      <c r="L427">
        <v>31</v>
      </c>
      <c r="M427">
        <v>5</v>
      </c>
      <c r="N427" t="s">
        <v>22</v>
      </c>
    </row>
    <row r="428" spans="1:14" x14ac:dyDescent="0.35">
      <c r="A428" t="s">
        <v>808</v>
      </c>
      <c r="B428" t="s">
        <v>809</v>
      </c>
      <c r="C428">
        <v>2023</v>
      </c>
      <c r="D428" t="s">
        <v>48</v>
      </c>
      <c r="E428" t="s">
        <v>53</v>
      </c>
      <c r="F428" t="s">
        <v>18</v>
      </c>
      <c r="G428" t="s">
        <v>49</v>
      </c>
      <c r="H428">
        <v>1527.7</v>
      </c>
      <c r="I428">
        <v>1158.22</v>
      </c>
      <c r="J428" t="s">
        <v>88</v>
      </c>
      <c r="K428" t="s">
        <v>21</v>
      </c>
      <c r="L428">
        <v>37</v>
      </c>
      <c r="M428">
        <v>7</v>
      </c>
      <c r="N428" t="s">
        <v>22</v>
      </c>
    </row>
    <row r="429" spans="1:14" x14ac:dyDescent="0.35">
      <c r="A429" t="s">
        <v>810</v>
      </c>
      <c r="B429" t="s">
        <v>811</v>
      </c>
      <c r="C429">
        <v>2024</v>
      </c>
      <c r="D429" t="s">
        <v>85</v>
      </c>
      <c r="E429" t="s">
        <v>63</v>
      </c>
      <c r="F429" t="s">
        <v>39</v>
      </c>
      <c r="G429" t="s">
        <v>19</v>
      </c>
      <c r="H429">
        <v>1853.01</v>
      </c>
      <c r="I429">
        <v>2120.85</v>
      </c>
      <c r="J429" t="s">
        <v>20</v>
      </c>
      <c r="K429" t="s">
        <v>57</v>
      </c>
      <c r="L429">
        <v>35</v>
      </c>
      <c r="M429">
        <v>5</v>
      </c>
      <c r="N429" t="s">
        <v>22</v>
      </c>
    </row>
    <row r="430" spans="1:14" x14ac:dyDescent="0.35">
      <c r="A430" t="s">
        <v>812</v>
      </c>
      <c r="B430" t="s">
        <v>813</v>
      </c>
      <c r="C430">
        <v>2023</v>
      </c>
      <c r="D430" t="s">
        <v>74</v>
      </c>
      <c r="E430" t="s">
        <v>63</v>
      </c>
      <c r="F430" t="s">
        <v>39</v>
      </c>
      <c r="G430" t="s">
        <v>19</v>
      </c>
      <c r="H430">
        <v>2071.33</v>
      </c>
      <c r="I430">
        <v>2355.66</v>
      </c>
      <c r="J430" t="s">
        <v>34</v>
      </c>
      <c r="K430" t="s">
        <v>64</v>
      </c>
      <c r="L430">
        <v>45</v>
      </c>
      <c r="M430">
        <v>11</v>
      </c>
      <c r="N430" t="s">
        <v>22</v>
      </c>
    </row>
    <row r="431" spans="1:14" x14ac:dyDescent="0.35">
      <c r="A431" t="s">
        <v>814</v>
      </c>
      <c r="B431" t="s">
        <v>815</v>
      </c>
      <c r="C431">
        <v>2023</v>
      </c>
      <c r="D431" t="s">
        <v>74</v>
      </c>
      <c r="E431" t="s">
        <v>63</v>
      </c>
      <c r="F431" t="s">
        <v>18</v>
      </c>
      <c r="G431" t="s">
        <v>40</v>
      </c>
      <c r="H431">
        <v>1636.64</v>
      </c>
      <c r="I431">
        <v>0</v>
      </c>
      <c r="J431" t="s">
        <v>28</v>
      </c>
      <c r="K431" t="s">
        <v>29</v>
      </c>
      <c r="L431">
        <v>21</v>
      </c>
      <c r="M431">
        <v>7</v>
      </c>
      <c r="N431" t="s">
        <v>30</v>
      </c>
    </row>
    <row r="432" spans="1:14" x14ac:dyDescent="0.35">
      <c r="A432" t="s">
        <v>816</v>
      </c>
      <c r="B432" t="s">
        <v>636</v>
      </c>
      <c r="C432">
        <v>2024</v>
      </c>
      <c r="D432" t="s">
        <v>37</v>
      </c>
      <c r="E432" t="s">
        <v>17</v>
      </c>
      <c r="F432" t="s">
        <v>18</v>
      </c>
      <c r="G432" t="s">
        <v>40</v>
      </c>
      <c r="H432">
        <v>1966.01</v>
      </c>
      <c r="I432">
        <v>0</v>
      </c>
      <c r="J432" t="s">
        <v>28</v>
      </c>
      <c r="K432" t="s">
        <v>82</v>
      </c>
      <c r="L432">
        <v>30</v>
      </c>
      <c r="M432">
        <v>6</v>
      </c>
      <c r="N432" t="s">
        <v>30</v>
      </c>
    </row>
    <row r="433" spans="1:14" x14ac:dyDescent="0.35">
      <c r="A433" t="s">
        <v>817</v>
      </c>
      <c r="B433" t="s">
        <v>582</v>
      </c>
      <c r="C433">
        <v>2023</v>
      </c>
      <c r="D433" t="s">
        <v>25</v>
      </c>
      <c r="E433" t="s">
        <v>63</v>
      </c>
      <c r="F433" t="s">
        <v>44</v>
      </c>
      <c r="G433" t="s">
        <v>49</v>
      </c>
      <c r="H433">
        <v>1205.3900000000001</v>
      </c>
      <c r="I433">
        <v>1042.78</v>
      </c>
      <c r="J433" t="s">
        <v>34</v>
      </c>
      <c r="K433" t="s">
        <v>71</v>
      </c>
      <c r="L433">
        <v>23</v>
      </c>
      <c r="M433">
        <v>12</v>
      </c>
      <c r="N433" t="s">
        <v>22</v>
      </c>
    </row>
    <row r="434" spans="1:14" x14ac:dyDescent="0.35">
      <c r="A434" t="s">
        <v>818</v>
      </c>
      <c r="B434" t="s">
        <v>753</v>
      </c>
      <c r="C434">
        <v>2023</v>
      </c>
      <c r="D434" t="s">
        <v>37</v>
      </c>
      <c r="E434" t="s">
        <v>63</v>
      </c>
      <c r="F434" t="s">
        <v>27</v>
      </c>
      <c r="G434" t="s">
        <v>49</v>
      </c>
      <c r="H434">
        <v>1274.02</v>
      </c>
      <c r="I434">
        <v>0</v>
      </c>
      <c r="J434" t="s">
        <v>28</v>
      </c>
      <c r="K434" t="s">
        <v>21</v>
      </c>
      <c r="L434">
        <v>67</v>
      </c>
      <c r="M434">
        <v>9</v>
      </c>
      <c r="N434" t="s">
        <v>30</v>
      </c>
    </row>
    <row r="435" spans="1:14" x14ac:dyDescent="0.35">
      <c r="A435" t="s">
        <v>819</v>
      </c>
      <c r="B435" t="s">
        <v>820</v>
      </c>
      <c r="C435">
        <v>2023</v>
      </c>
      <c r="D435" t="s">
        <v>16</v>
      </c>
      <c r="E435" t="s">
        <v>63</v>
      </c>
      <c r="F435" t="s">
        <v>27</v>
      </c>
      <c r="G435" t="s">
        <v>19</v>
      </c>
      <c r="H435">
        <v>1936.48</v>
      </c>
      <c r="I435">
        <v>0</v>
      </c>
      <c r="J435" t="s">
        <v>28</v>
      </c>
      <c r="K435" t="s">
        <v>71</v>
      </c>
      <c r="L435">
        <v>59</v>
      </c>
      <c r="M435">
        <v>1</v>
      </c>
      <c r="N435" t="s">
        <v>30</v>
      </c>
    </row>
    <row r="436" spans="1:14" x14ac:dyDescent="0.35">
      <c r="A436" t="s">
        <v>821</v>
      </c>
      <c r="B436" t="s">
        <v>822</v>
      </c>
      <c r="C436">
        <v>2024</v>
      </c>
      <c r="D436" t="s">
        <v>37</v>
      </c>
      <c r="E436" t="s">
        <v>26</v>
      </c>
      <c r="F436" t="s">
        <v>39</v>
      </c>
      <c r="G436" t="s">
        <v>40</v>
      </c>
      <c r="H436">
        <v>2545.23</v>
      </c>
      <c r="I436">
        <v>0</v>
      </c>
      <c r="J436" t="s">
        <v>28</v>
      </c>
      <c r="K436" t="s">
        <v>57</v>
      </c>
      <c r="L436">
        <v>21</v>
      </c>
      <c r="M436">
        <v>9</v>
      </c>
      <c r="N436" t="s">
        <v>30</v>
      </c>
    </row>
    <row r="437" spans="1:14" x14ac:dyDescent="0.35">
      <c r="A437" t="s">
        <v>823</v>
      </c>
      <c r="B437" t="s">
        <v>397</v>
      </c>
      <c r="C437">
        <v>2024</v>
      </c>
      <c r="D437" t="s">
        <v>37</v>
      </c>
      <c r="E437" t="s">
        <v>17</v>
      </c>
      <c r="F437" t="s">
        <v>39</v>
      </c>
      <c r="G437" t="s">
        <v>19</v>
      </c>
      <c r="H437">
        <v>2605.48</v>
      </c>
      <c r="I437">
        <v>2943.36</v>
      </c>
      <c r="J437" t="s">
        <v>88</v>
      </c>
      <c r="K437" t="s">
        <v>71</v>
      </c>
      <c r="L437">
        <v>29</v>
      </c>
      <c r="M437">
        <v>7</v>
      </c>
      <c r="N437" t="s">
        <v>22</v>
      </c>
    </row>
    <row r="438" spans="1:14" x14ac:dyDescent="0.35">
      <c r="A438" t="s">
        <v>824</v>
      </c>
      <c r="B438" t="s">
        <v>569</v>
      </c>
      <c r="C438">
        <v>2024</v>
      </c>
      <c r="D438" t="s">
        <v>43</v>
      </c>
      <c r="E438" t="s">
        <v>26</v>
      </c>
      <c r="F438" t="s">
        <v>44</v>
      </c>
      <c r="G438" t="s">
        <v>19</v>
      </c>
      <c r="H438">
        <v>3223.24</v>
      </c>
      <c r="I438">
        <v>3319.74</v>
      </c>
      <c r="J438" t="s">
        <v>20</v>
      </c>
      <c r="K438" t="s">
        <v>64</v>
      </c>
      <c r="L438">
        <v>30</v>
      </c>
      <c r="M438">
        <v>12</v>
      </c>
      <c r="N438" t="s">
        <v>22</v>
      </c>
    </row>
    <row r="439" spans="1:14" x14ac:dyDescent="0.35">
      <c r="A439" t="s">
        <v>825</v>
      </c>
      <c r="B439" t="s">
        <v>826</v>
      </c>
      <c r="C439">
        <v>2023</v>
      </c>
      <c r="D439" t="s">
        <v>56</v>
      </c>
      <c r="E439" t="s">
        <v>63</v>
      </c>
      <c r="F439" t="s">
        <v>44</v>
      </c>
      <c r="G439" t="s">
        <v>49</v>
      </c>
      <c r="H439">
        <v>1232.28</v>
      </c>
      <c r="I439">
        <v>1107.28</v>
      </c>
      <c r="J439" t="s">
        <v>88</v>
      </c>
      <c r="K439" t="s">
        <v>29</v>
      </c>
      <c r="L439">
        <v>33</v>
      </c>
      <c r="M439">
        <v>10</v>
      </c>
      <c r="N439" t="s">
        <v>22</v>
      </c>
    </row>
    <row r="440" spans="1:14" x14ac:dyDescent="0.35">
      <c r="A440" t="s">
        <v>827</v>
      </c>
      <c r="B440" t="s">
        <v>279</v>
      </c>
      <c r="C440">
        <v>2023</v>
      </c>
      <c r="D440" t="s">
        <v>25</v>
      </c>
      <c r="E440" t="s">
        <v>63</v>
      </c>
      <c r="F440" t="s">
        <v>27</v>
      </c>
      <c r="G440" t="s">
        <v>49</v>
      </c>
      <c r="H440">
        <v>1230.07</v>
      </c>
      <c r="I440">
        <v>909.46</v>
      </c>
      <c r="J440" t="s">
        <v>34</v>
      </c>
      <c r="K440" t="s">
        <v>64</v>
      </c>
      <c r="L440">
        <v>28</v>
      </c>
      <c r="M440">
        <v>9</v>
      </c>
      <c r="N440" t="s">
        <v>22</v>
      </c>
    </row>
    <row r="441" spans="1:14" x14ac:dyDescent="0.35">
      <c r="A441" t="s">
        <v>828</v>
      </c>
      <c r="B441" t="s">
        <v>415</v>
      </c>
      <c r="C441">
        <v>2023</v>
      </c>
      <c r="D441" t="s">
        <v>56</v>
      </c>
      <c r="E441" t="s">
        <v>26</v>
      </c>
      <c r="F441" t="s">
        <v>44</v>
      </c>
      <c r="G441" t="s">
        <v>49</v>
      </c>
      <c r="H441">
        <v>1936.18</v>
      </c>
      <c r="I441">
        <v>1738.47</v>
      </c>
      <c r="J441" t="s">
        <v>34</v>
      </c>
      <c r="K441" t="s">
        <v>82</v>
      </c>
      <c r="L441">
        <v>51</v>
      </c>
      <c r="M441">
        <v>11</v>
      </c>
      <c r="N441" t="s">
        <v>22</v>
      </c>
    </row>
    <row r="442" spans="1:14" x14ac:dyDescent="0.35">
      <c r="A442" t="s">
        <v>829</v>
      </c>
      <c r="B442" t="s">
        <v>830</v>
      </c>
      <c r="C442">
        <v>2024</v>
      </c>
      <c r="D442" t="s">
        <v>67</v>
      </c>
      <c r="E442" t="s">
        <v>17</v>
      </c>
      <c r="F442" t="s">
        <v>44</v>
      </c>
      <c r="G442" t="s">
        <v>40</v>
      </c>
      <c r="H442">
        <v>2013.35</v>
      </c>
      <c r="I442">
        <v>0</v>
      </c>
      <c r="J442" t="s">
        <v>28</v>
      </c>
      <c r="K442" t="s">
        <v>77</v>
      </c>
      <c r="L442">
        <v>69</v>
      </c>
      <c r="M442">
        <v>12</v>
      </c>
      <c r="N442" t="s">
        <v>30</v>
      </c>
    </row>
    <row r="443" spans="1:14" x14ac:dyDescent="0.35">
      <c r="A443" t="s">
        <v>831</v>
      </c>
      <c r="B443" t="s">
        <v>832</v>
      </c>
      <c r="C443">
        <v>2023</v>
      </c>
      <c r="D443" t="s">
        <v>37</v>
      </c>
      <c r="E443" t="s">
        <v>26</v>
      </c>
      <c r="F443" t="s">
        <v>27</v>
      </c>
      <c r="G443" t="s">
        <v>19</v>
      </c>
      <c r="H443">
        <v>2985.55</v>
      </c>
      <c r="I443">
        <v>3146.71</v>
      </c>
      <c r="J443" t="s">
        <v>34</v>
      </c>
      <c r="K443" t="s">
        <v>77</v>
      </c>
      <c r="L443">
        <v>36</v>
      </c>
      <c r="M443">
        <v>6</v>
      </c>
      <c r="N443" t="s">
        <v>22</v>
      </c>
    </row>
    <row r="444" spans="1:14" x14ac:dyDescent="0.35">
      <c r="A444" t="s">
        <v>833</v>
      </c>
      <c r="B444" t="s">
        <v>834</v>
      </c>
      <c r="C444">
        <v>2023</v>
      </c>
      <c r="D444" t="s">
        <v>60</v>
      </c>
      <c r="E444" t="s">
        <v>53</v>
      </c>
      <c r="F444" t="s">
        <v>18</v>
      </c>
      <c r="G444" t="s">
        <v>49</v>
      </c>
      <c r="H444">
        <v>1410.77</v>
      </c>
      <c r="I444">
        <v>1023.45</v>
      </c>
      <c r="J444" t="s">
        <v>20</v>
      </c>
      <c r="K444" t="s">
        <v>21</v>
      </c>
      <c r="L444">
        <v>67</v>
      </c>
      <c r="M444">
        <v>3</v>
      </c>
      <c r="N444" t="s">
        <v>22</v>
      </c>
    </row>
    <row r="445" spans="1:14" x14ac:dyDescent="0.35">
      <c r="A445" t="s">
        <v>835</v>
      </c>
      <c r="B445" t="s">
        <v>391</v>
      </c>
      <c r="C445">
        <v>2024</v>
      </c>
      <c r="D445" t="s">
        <v>16</v>
      </c>
      <c r="E445" t="s">
        <v>53</v>
      </c>
      <c r="F445" t="s">
        <v>27</v>
      </c>
      <c r="G445" t="s">
        <v>40</v>
      </c>
      <c r="H445">
        <v>1933.24</v>
      </c>
      <c r="I445">
        <v>0</v>
      </c>
      <c r="J445" t="s">
        <v>28</v>
      </c>
      <c r="K445" t="s">
        <v>45</v>
      </c>
      <c r="L445">
        <v>60</v>
      </c>
      <c r="M445">
        <v>7</v>
      </c>
      <c r="N445" t="s">
        <v>30</v>
      </c>
    </row>
    <row r="446" spans="1:14" x14ac:dyDescent="0.35">
      <c r="A446" t="s">
        <v>836</v>
      </c>
      <c r="B446" t="s">
        <v>837</v>
      </c>
      <c r="C446">
        <v>2024</v>
      </c>
      <c r="D446" t="s">
        <v>37</v>
      </c>
      <c r="E446" t="s">
        <v>63</v>
      </c>
      <c r="F446" t="s">
        <v>39</v>
      </c>
      <c r="G446" t="s">
        <v>40</v>
      </c>
      <c r="H446">
        <v>1580.32</v>
      </c>
      <c r="I446">
        <v>0</v>
      </c>
      <c r="J446" t="s">
        <v>28</v>
      </c>
      <c r="K446" t="s">
        <v>71</v>
      </c>
      <c r="L446">
        <v>26</v>
      </c>
      <c r="M446">
        <v>7</v>
      </c>
      <c r="N446" t="s">
        <v>30</v>
      </c>
    </row>
    <row r="447" spans="1:14" x14ac:dyDescent="0.35">
      <c r="A447" t="s">
        <v>838</v>
      </c>
      <c r="B447" t="s">
        <v>839</v>
      </c>
      <c r="C447">
        <v>2023</v>
      </c>
      <c r="D447" t="s">
        <v>67</v>
      </c>
      <c r="E447" t="s">
        <v>38</v>
      </c>
      <c r="F447" t="s">
        <v>39</v>
      </c>
      <c r="G447" t="s">
        <v>19</v>
      </c>
      <c r="H447">
        <v>1136.83</v>
      </c>
      <c r="I447">
        <v>1232.5899999999999</v>
      </c>
      <c r="J447" t="s">
        <v>34</v>
      </c>
      <c r="K447" t="s">
        <v>71</v>
      </c>
      <c r="L447">
        <v>51</v>
      </c>
      <c r="M447">
        <v>3</v>
      </c>
      <c r="N447" t="s">
        <v>22</v>
      </c>
    </row>
    <row r="448" spans="1:14" x14ac:dyDescent="0.35">
      <c r="A448" t="s">
        <v>840</v>
      </c>
      <c r="B448" t="s">
        <v>841</v>
      </c>
      <c r="C448">
        <v>2024</v>
      </c>
      <c r="D448" t="s">
        <v>43</v>
      </c>
      <c r="E448" t="s">
        <v>38</v>
      </c>
      <c r="F448" t="s">
        <v>39</v>
      </c>
      <c r="G448" t="s">
        <v>49</v>
      </c>
      <c r="H448">
        <v>616.34</v>
      </c>
      <c r="I448">
        <v>0</v>
      </c>
      <c r="J448" t="s">
        <v>28</v>
      </c>
      <c r="K448" t="s">
        <v>45</v>
      </c>
      <c r="L448">
        <v>51</v>
      </c>
      <c r="M448">
        <v>9</v>
      </c>
      <c r="N448" t="s">
        <v>30</v>
      </c>
    </row>
    <row r="449" spans="1:14" x14ac:dyDescent="0.35">
      <c r="A449" t="s">
        <v>842</v>
      </c>
      <c r="B449" t="s">
        <v>312</v>
      </c>
      <c r="C449">
        <v>2024</v>
      </c>
      <c r="D449" t="s">
        <v>43</v>
      </c>
      <c r="E449" t="s">
        <v>63</v>
      </c>
      <c r="F449" t="s">
        <v>39</v>
      </c>
      <c r="G449" t="s">
        <v>40</v>
      </c>
      <c r="H449">
        <v>1535.36</v>
      </c>
      <c r="I449">
        <v>0</v>
      </c>
      <c r="J449" t="s">
        <v>28</v>
      </c>
      <c r="K449" t="s">
        <v>82</v>
      </c>
      <c r="L449">
        <v>65</v>
      </c>
      <c r="M449">
        <v>11</v>
      </c>
      <c r="N449" t="s">
        <v>30</v>
      </c>
    </row>
    <row r="450" spans="1:14" x14ac:dyDescent="0.35">
      <c r="A450" t="s">
        <v>843</v>
      </c>
      <c r="B450" t="s">
        <v>200</v>
      </c>
      <c r="C450">
        <v>2024</v>
      </c>
      <c r="D450" t="s">
        <v>60</v>
      </c>
      <c r="E450" t="s">
        <v>63</v>
      </c>
      <c r="F450" t="s">
        <v>18</v>
      </c>
      <c r="G450" t="s">
        <v>49</v>
      </c>
      <c r="H450">
        <v>1343.48</v>
      </c>
      <c r="I450">
        <v>964.32</v>
      </c>
      <c r="J450" t="s">
        <v>34</v>
      </c>
      <c r="K450" t="s">
        <v>45</v>
      </c>
      <c r="L450">
        <v>66</v>
      </c>
      <c r="M450">
        <v>8</v>
      </c>
      <c r="N450" t="s">
        <v>22</v>
      </c>
    </row>
    <row r="451" spans="1:14" x14ac:dyDescent="0.35">
      <c r="A451" t="s">
        <v>844</v>
      </c>
      <c r="B451" t="s">
        <v>845</v>
      </c>
      <c r="C451">
        <v>2023</v>
      </c>
      <c r="D451" t="s">
        <v>33</v>
      </c>
      <c r="E451" t="s">
        <v>38</v>
      </c>
      <c r="F451" t="s">
        <v>39</v>
      </c>
      <c r="G451" t="s">
        <v>49</v>
      </c>
      <c r="H451">
        <v>656.82</v>
      </c>
      <c r="I451">
        <v>590.54</v>
      </c>
      <c r="J451" t="s">
        <v>34</v>
      </c>
      <c r="K451" t="s">
        <v>71</v>
      </c>
      <c r="L451">
        <v>59</v>
      </c>
      <c r="M451">
        <v>8</v>
      </c>
      <c r="N451" t="s">
        <v>22</v>
      </c>
    </row>
    <row r="452" spans="1:14" x14ac:dyDescent="0.35">
      <c r="A452" t="s">
        <v>846</v>
      </c>
      <c r="B452" t="s">
        <v>847</v>
      </c>
      <c r="C452">
        <v>2024</v>
      </c>
      <c r="D452" t="s">
        <v>25</v>
      </c>
      <c r="E452" t="s">
        <v>38</v>
      </c>
      <c r="F452" t="s">
        <v>18</v>
      </c>
      <c r="G452" t="s">
        <v>19</v>
      </c>
      <c r="H452">
        <v>1103.18</v>
      </c>
      <c r="I452">
        <v>1276.58</v>
      </c>
      <c r="J452" t="s">
        <v>88</v>
      </c>
      <c r="K452" t="s">
        <v>82</v>
      </c>
      <c r="L452">
        <v>58</v>
      </c>
      <c r="M452">
        <v>3</v>
      </c>
      <c r="N452" t="s">
        <v>22</v>
      </c>
    </row>
    <row r="453" spans="1:14" x14ac:dyDescent="0.35">
      <c r="A453" t="s">
        <v>848</v>
      </c>
      <c r="B453" t="s">
        <v>849</v>
      </c>
      <c r="C453">
        <v>2023</v>
      </c>
      <c r="D453" t="s">
        <v>33</v>
      </c>
      <c r="E453" t="s">
        <v>38</v>
      </c>
      <c r="F453" t="s">
        <v>27</v>
      </c>
      <c r="G453" t="s">
        <v>49</v>
      </c>
      <c r="H453">
        <v>631.08000000000004</v>
      </c>
      <c r="I453">
        <v>526.14</v>
      </c>
      <c r="J453" t="s">
        <v>20</v>
      </c>
      <c r="K453" t="s">
        <v>82</v>
      </c>
      <c r="L453">
        <v>35</v>
      </c>
      <c r="M453">
        <v>2</v>
      </c>
      <c r="N453" t="s">
        <v>22</v>
      </c>
    </row>
    <row r="454" spans="1:14" x14ac:dyDescent="0.35">
      <c r="A454" t="s">
        <v>850</v>
      </c>
      <c r="B454" t="s">
        <v>256</v>
      </c>
      <c r="C454">
        <v>2023</v>
      </c>
      <c r="D454" t="s">
        <v>85</v>
      </c>
      <c r="E454" t="s">
        <v>17</v>
      </c>
      <c r="F454" t="s">
        <v>18</v>
      </c>
      <c r="G454" t="s">
        <v>19</v>
      </c>
      <c r="H454">
        <v>2658.37</v>
      </c>
      <c r="I454">
        <v>2725.18</v>
      </c>
      <c r="J454" t="s">
        <v>20</v>
      </c>
      <c r="K454" t="s">
        <v>77</v>
      </c>
      <c r="L454">
        <v>66</v>
      </c>
      <c r="M454">
        <v>9</v>
      </c>
      <c r="N454" t="s">
        <v>22</v>
      </c>
    </row>
    <row r="455" spans="1:14" x14ac:dyDescent="0.35">
      <c r="A455" t="s">
        <v>851</v>
      </c>
      <c r="B455" t="s">
        <v>599</v>
      </c>
      <c r="C455">
        <v>2024</v>
      </c>
      <c r="D455" t="s">
        <v>74</v>
      </c>
      <c r="E455" t="s">
        <v>26</v>
      </c>
      <c r="F455" t="s">
        <v>27</v>
      </c>
      <c r="G455" t="s">
        <v>40</v>
      </c>
      <c r="H455">
        <v>2576.86</v>
      </c>
      <c r="I455">
        <v>2694.97</v>
      </c>
      <c r="J455" t="s">
        <v>34</v>
      </c>
      <c r="K455" t="s">
        <v>29</v>
      </c>
      <c r="L455">
        <v>64</v>
      </c>
      <c r="M455">
        <v>9</v>
      </c>
      <c r="N455" t="s">
        <v>22</v>
      </c>
    </row>
    <row r="456" spans="1:14" x14ac:dyDescent="0.35">
      <c r="A456" t="s">
        <v>852</v>
      </c>
      <c r="B456" t="s">
        <v>853</v>
      </c>
      <c r="C456">
        <v>2023</v>
      </c>
      <c r="D456" t="s">
        <v>37</v>
      </c>
      <c r="E456" t="s">
        <v>26</v>
      </c>
      <c r="F456" t="s">
        <v>27</v>
      </c>
      <c r="G456" t="s">
        <v>19</v>
      </c>
      <c r="H456">
        <v>3422.43</v>
      </c>
      <c r="I456">
        <v>3611.81</v>
      </c>
      <c r="J456" t="s">
        <v>34</v>
      </c>
      <c r="K456" t="s">
        <v>21</v>
      </c>
      <c r="L456">
        <v>55</v>
      </c>
      <c r="M456">
        <v>11</v>
      </c>
      <c r="N456" t="s">
        <v>22</v>
      </c>
    </row>
    <row r="457" spans="1:14" x14ac:dyDescent="0.35">
      <c r="A457" t="s">
        <v>854</v>
      </c>
      <c r="B457" t="s">
        <v>692</v>
      </c>
      <c r="C457">
        <v>2023</v>
      </c>
      <c r="D457" t="s">
        <v>60</v>
      </c>
      <c r="E457" t="s">
        <v>38</v>
      </c>
      <c r="F457" t="s">
        <v>39</v>
      </c>
      <c r="G457" t="s">
        <v>49</v>
      </c>
      <c r="H457">
        <v>723.99</v>
      </c>
      <c r="I457">
        <v>0</v>
      </c>
      <c r="J457" t="s">
        <v>28</v>
      </c>
      <c r="K457" t="s">
        <v>45</v>
      </c>
      <c r="L457">
        <v>45</v>
      </c>
      <c r="M457">
        <v>10</v>
      </c>
      <c r="N457" t="s">
        <v>30</v>
      </c>
    </row>
    <row r="458" spans="1:14" x14ac:dyDescent="0.35">
      <c r="A458" t="s">
        <v>855</v>
      </c>
      <c r="B458" t="s">
        <v>411</v>
      </c>
      <c r="C458">
        <v>2023</v>
      </c>
      <c r="D458" t="s">
        <v>33</v>
      </c>
      <c r="E458" t="s">
        <v>17</v>
      </c>
      <c r="F458" t="s">
        <v>44</v>
      </c>
      <c r="G458" t="s">
        <v>19</v>
      </c>
      <c r="H458">
        <v>2388.46</v>
      </c>
      <c r="I458">
        <v>2705.91</v>
      </c>
      <c r="J458" t="s">
        <v>34</v>
      </c>
      <c r="K458" t="s">
        <v>82</v>
      </c>
      <c r="L458">
        <v>59</v>
      </c>
      <c r="M458">
        <v>9</v>
      </c>
      <c r="N458" t="s">
        <v>22</v>
      </c>
    </row>
    <row r="459" spans="1:14" x14ac:dyDescent="0.35">
      <c r="A459" t="s">
        <v>856</v>
      </c>
      <c r="B459" t="s">
        <v>857</v>
      </c>
      <c r="C459">
        <v>2023</v>
      </c>
      <c r="D459" t="s">
        <v>43</v>
      </c>
      <c r="E459" t="s">
        <v>63</v>
      </c>
      <c r="F459" t="s">
        <v>39</v>
      </c>
      <c r="G459" t="s">
        <v>40</v>
      </c>
      <c r="H459">
        <v>1625.5</v>
      </c>
      <c r="I459">
        <v>0</v>
      </c>
      <c r="J459" t="s">
        <v>28</v>
      </c>
      <c r="K459" t="s">
        <v>71</v>
      </c>
      <c r="L459">
        <v>60</v>
      </c>
      <c r="M459">
        <v>1</v>
      </c>
      <c r="N459" t="s">
        <v>30</v>
      </c>
    </row>
    <row r="460" spans="1:14" x14ac:dyDescent="0.35">
      <c r="A460" t="s">
        <v>858</v>
      </c>
      <c r="B460" t="s">
        <v>395</v>
      </c>
      <c r="C460">
        <v>2023</v>
      </c>
      <c r="D460" t="s">
        <v>60</v>
      </c>
      <c r="E460" t="s">
        <v>38</v>
      </c>
      <c r="F460" t="s">
        <v>44</v>
      </c>
      <c r="G460" t="s">
        <v>19</v>
      </c>
      <c r="H460">
        <v>1004.65</v>
      </c>
      <c r="I460">
        <v>0</v>
      </c>
      <c r="J460" t="s">
        <v>28</v>
      </c>
      <c r="K460" t="s">
        <v>45</v>
      </c>
      <c r="L460">
        <v>67</v>
      </c>
      <c r="M460">
        <v>9</v>
      </c>
      <c r="N460" t="s">
        <v>30</v>
      </c>
    </row>
    <row r="461" spans="1:14" x14ac:dyDescent="0.35">
      <c r="A461" t="s">
        <v>859</v>
      </c>
      <c r="B461" t="s">
        <v>860</v>
      </c>
      <c r="C461">
        <v>2024</v>
      </c>
      <c r="D461" t="s">
        <v>33</v>
      </c>
      <c r="E461" t="s">
        <v>17</v>
      </c>
      <c r="F461" t="s">
        <v>18</v>
      </c>
      <c r="G461" t="s">
        <v>40</v>
      </c>
      <c r="H461">
        <v>2036.4</v>
      </c>
      <c r="I461">
        <v>2070.17</v>
      </c>
      <c r="J461" t="s">
        <v>20</v>
      </c>
      <c r="K461" t="s">
        <v>45</v>
      </c>
      <c r="L461">
        <v>39</v>
      </c>
      <c r="M461">
        <v>12</v>
      </c>
      <c r="N461" t="s">
        <v>22</v>
      </c>
    </row>
    <row r="462" spans="1:14" x14ac:dyDescent="0.35">
      <c r="A462" t="s">
        <v>861</v>
      </c>
      <c r="B462" t="s">
        <v>862</v>
      </c>
      <c r="C462">
        <v>2024</v>
      </c>
      <c r="D462" t="s">
        <v>74</v>
      </c>
      <c r="E462" t="s">
        <v>38</v>
      </c>
      <c r="F462" t="s">
        <v>68</v>
      </c>
      <c r="G462" t="s">
        <v>49</v>
      </c>
      <c r="H462">
        <v>640.33000000000004</v>
      </c>
      <c r="I462">
        <v>560.86</v>
      </c>
      <c r="J462" t="s">
        <v>20</v>
      </c>
      <c r="K462" t="s">
        <v>71</v>
      </c>
      <c r="L462">
        <v>37</v>
      </c>
      <c r="M462">
        <v>4</v>
      </c>
      <c r="N462" t="s">
        <v>22</v>
      </c>
    </row>
    <row r="463" spans="1:14" x14ac:dyDescent="0.35">
      <c r="A463" t="s">
        <v>863</v>
      </c>
      <c r="B463" t="s">
        <v>864</v>
      </c>
      <c r="C463">
        <v>2024</v>
      </c>
      <c r="D463" t="s">
        <v>67</v>
      </c>
      <c r="E463" t="s">
        <v>38</v>
      </c>
      <c r="F463" t="s">
        <v>68</v>
      </c>
      <c r="G463" t="s">
        <v>40</v>
      </c>
      <c r="H463">
        <v>868.98</v>
      </c>
      <c r="I463">
        <v>0</v>
      </c>
      <c r="J463" t="s">
        <v>28</v>
      </c>
      <c r="K463" t="s">
        <v>21</v>
      </c>
      <c r="L463">
        <v>63</v>
      </c>
      <c r="M463">
        <v>11</v>
      </c>
      <c r="N463" t="s">
        <v>30</v>
      </c>
    </row>
    <row r="464" spans="1:14" x14ac:dyDescent="0.35">
      <c r="A464" t="s">
        <v>865</v>
      </c>
      <c r="B464" t="s">
        <v>606</v>
      </c>
      <c r="C464">
        <v>2024</v>
      </c>
      <c r="D464" t="s">
        <v>48</v>
      </c>
      <c r="E464" t="s">
        <v>26</v>
      </c>
      <c r="F464" t="s">
        <v>44</v>
      </c>
      <c r="G464" t="s">
        <v>49</v>
      </c>
      <c r="H464">
        <v>2183.23</v>
      </c>
      <c r="I464">
        <v>1568.42</v>
      </c>
      <c r="J464" t="s">
        <v>88</v>
      </c>
      <c r="K464" t="s">
        <v>71</v>
      </c>
      <c r="L464">
        <v>23</v>
      </c>
      <c r="M464">
        <v>1</v>
      </c>
      <c r="N464" t="s">
        <v>22</v>
      </c>
    </row>
    <row r="465" spans="1:14" x14ac:dyDescent="0.35">
      <c r="A465" t="s">
        <v>866</v>
      </c>
      <c r="B465" t="s">
        <v>629</v>
      </c>
      <c r="C465">
        <v>2024</v>
      </c>
      <c r="D465" t="s">
        <v>74</v>
      </c>
      <c r="E465" t="s">
        <v>17</v>
      </c>
      <c r="F465" t="s">
        <v>18</v>
      </c>
      <c r="G465" t="s">
        <v>49</v>
      </c>
      <c r="H465">
        <v>1816.39</v>
      </c>
      <c r="I465">
        <v>0</v>
      </c>
      <c r="J465" t="s">
        <v>28</v>
      </c>
      <c r="K465" t="s">
        <v>21</v>
      </c>
      <c r="L465">
        <v>72</v>
      </c>
      <c r="M465">
        <v>1</v>
      </c>
      <c r="N465" t="s">
        <v>30</v>
      </c>
    </row>
    <row r="466" spans="1:14" x14ac:dyDescent="0.35">
      <c r="A466" t="s">
        <v>867</v>
      </c>
      <c r="B466" t="s">
        <v>147</v>
      </c>
      <c r="C466">
        <v>2024</v>
      </c>
      <c r="D466" t="s">
        <v>16</v>
      </c>
      <c r="E466" t="s">
        <v>63</v>
      </c>
      <c r="F466" t="s">
        <v>44</v>
      </c>
      <c r="G466" t="s">
        <v>40</v>
      </c>
      <c r="H466">
        <v>1368.29</v>
      </c>
      <c r="I466">
        <v>1403.42</v>
      </c>
      <c r="J466" t="s">
        <v>34</v>
      </c>
      <c r="K466" t="s">
        <v>71</v>
      </c>
      <c r="L466">
        <v>63</v>
      </c>
      <c r="M466">
        <v>2</v>
      </c>
      <c r="N466" t="s">
        <v>22</v>
      </c>
    </row>
    <row r="467" spans="1:14" x14ac:dyDescent="0.35">
      <c r="A467" t="s">
        <v>868</v>
      </c>
      <c r="B467" t="s">
        <v>869</v>
      </c>
      <c r="C467">
        <v>2024</v>
      </c>
      <c r="D467" t="s">
        <v>67</v>
      </c>
      <c r="E467" t="s">
        <v>63</v>
      </c>
      <c r="F467" t="s">
        <v>18</v>
      </c>
      <c r="G467" t="s">
        <v>49</v>
      </c>
      <c r="H467">
        <v>1242.48</v>
      </c>
      <c r="I467">
        <v>1066.72</v>
      </c>
      <c r="J467" t="s">
        <v>34</v>
      </c>
      <c r="K467" t="s">
        <v>45</v>
      </c>
      <c r="L467">
        <v>32</v>
      </c>
      <c r="M467">
        <v>8</v>
      </c>
      <c r="N467" t="s">
        <v>22</v>
      </c>
    </row>
    <row r="468" spans="1:14" x14ac:dyDescent="0.35">
      <c r="A468" t="s">
        <v>870</v>
      </c>
      <c r="B468" t="s">
        <v>351</v>
      </c>
      <c r="C468">
        <v>2023</v>
      </c>
      <c r="D468" t="s">
        <v>25</v>
      </c>
      <c r="E468" t="s">
        <v>53</v>
      </c>
      <c r="F468" t="s">
        <v>27</v>
      </c>
      <c r="G468" t="s">
        <v>19</v>
      </c>
      <c r="H468">
        <v>2446.88</v>
      </c>
      <c r="I468">
        <v>0</v>
      </c>
      <c r="J468" t="s">
        <v>28</v>
      </c>
      <c r="K468" t="s">
        <v>57</v>
      </c>
      <c r="L468">
        <v>38</v>
      </c>
      <c r="M468">
        <v>1</v>
      </c>
      <c r="N468" t="s">
        <v>30</v>
      </c>
    </row>
    <row r="469" spans="1:14" x14ac:dyDescent="0.35">
      <c r="A469" t="s">
        <v>871</v>
      </c>
      <c r="B469" t="s">
        <v>872</v>
      </c>
      <c r="C469">
        <v>2023</v>
      </c>
      <c r="D469" t="s">
        <v>48</v>
      </c>
      <c r="E469" t="s">
        <v>26</v>
      </c>
      <c r="F469" t="s">
        <v>44</v>
      </c>
      <c r="G469" t="s">
        <v>40</v>
      </c>
      <c r="H469">
        <v>2227.4</v>
      </c>
      <c r="I469">
        <v>1936.47</v>
      </c>
      <c r="J469" t="s">
        <v>20</v>
      </c>
      <c r="K469" t="s">
        <v>29</v>
      </c>
      <c r="L469">
        <v>35</v>
      </c>
      <c r="M469">
        <v>3</v>
      </c>
      <c r="N469" t="s">
        <v>22</v>
      </c>
    </row>
    <row r="470" spans="1:14" x14ac:dyDescent="0.35">
      <c r="A470" t="s">
        <v>873</v>
      </c>
      <c r="B470" t="s">
        <v>308</v>
      </c>
      <c r="C470">
        <v>2024</v>
      </c>
      <c r="D470" t="s">
        <v>67</v>
      </c>
      <c r="E470" t="s">
        <v>38</v>
      </c>
      <c r="F470" t="s">
        <v>44</v>
      </c>
      <c r="G470" t="s">
        <v>40</v>
      </c>
      <c r="H470">
        <v>741.21</v>
      </c>
      <c r="I470">
        <v>729.85</v>
      </c>
      <c r="J470" t="s">
        <v>34</v>
      </c>
      <c r="K470" t="s">
        <v>29</v>
      </c>
      <c r="L470">
        <v>70</v>
      </c>
      <c r="M470">
        <v>3</v>
      </c>
      <c r="N470" t="s">
        <v>22</v>
      </c>
    </row>
    <row r="471" spans="1:14" x14ac:dyDescent="0.35">
      <c r="A471" t="s">
        <v>874</v>
      </c>
      <c r="B471" t="s">
        <v>745</v>
      </c>
      <c r="C471">
        <v>2023</v>
      </c>
      <c r="D471" t="s">
        <v>85</v>
      </c>
      <c r="E471" t="s">
        <v>63</v>
      </c>
      <c r="F471" t="s">
        <v>44</v>
      </c>
      <c r="G471" t="s">
        <v>19</v>
      </c>
      <c r="H471">
        <v>1843.74</v>
      </c>
      <c r="I471">
        <v>1916.52</v>
      </c>
      <c r="J471" t="s">
        <v>34</v>
      </c>
      <c r="K471" t="s">
        <v>71</v>
      </c>
      <c r="L471">
        <v>60</v>
      </c>
      <c r="M471">
        <v>10</v>
      </c>
      <c r="N471" t="s">
        <v>22</v>
      </c>
    </row>
    <row r="472" spans="1:14" x14ac:dyDescent="0.35">
      <c r="A472" t="s">
        <v>875</v>
      </c>
      <c r="B472" t="s">
        <v>876</v>
      </c>
      <c r="C472">
        <v>2024</v>
      </c>
      <c r="D472" t="s">
        <v>25</v>
      </c>
      <c r="E472" t="s">
        <v>17</v>
      </c>
      <c r="F472" t="s">
        <v>68</v>
      </c>
      <c r="G472" t="s">
        <v>40</v>
      </c>
      <c r="H472">
        <v>1803.02</v>
      </c>
      <c r="I472">
        <v>0</v>
      </c>
      <c r="J472" t="s">
        <v>28</v>
      </c>
      <c r="K472" t="s">
        <v>82</v>
      </c>
      <c r="L472">
        <v>41</v>
      </c>
      <c r="M472">
        <v>11</v>
      </c>
      <c r="N472" t="s">
        <v>30</v>
      </c>
    </row>
    <row r="473" spans="1:14" x14ac:dyDescent="0.35">
      <c r="A473" t="s">
        <v>877</v>
      </c>
      <c r="B473" t="s">
        <v>878</v>
      </c>
      <c r="C473">
        <v>2024</v>
      </c>
      <c r="D473" t="s">
        <v>37</v>
      </c>
      <c r="E473" t="s">
        <v>63</v>
      </c>
      <c r="F473" t="s">
        <v>18</v>
      </c>
      <c r="G473" t="s">
        <v>19</v>
      </c>
      <c r="H473">
        <v>2044.23</v>
      </c>
      <c r="I473">
        <v>2210.88</v>
      </c>
      <c r="J473" t="s">
        <v>34</v>
      </c>
      <c r="K473" t="s">
        <v>82</v>
      </c>
      <c r="L473">
        <v>69</v>
      </c>
      <c r="M473">
        <v>5</v>
      </c>
      <c r="N473" t="s">
        <v>22</v>
      </c>
    </row>
    <row r="474" spans="1:14" x14ac:dyDescent="0.35">
      <c r="A474" t="s">
        <v>879</v>
      </c>
      <c r="B474" t="s">
        <v>391</v>
      </c>
      <c r="C474">
        <v>2024</v>
      </c>
      <c r="D474" t="s">
        <v>16</v>
      </c>
      <c r="E474" t="s">
        <v>38</v>
      </c>
      <c r="F474" t="s">
        <v>44</v>
      </c>
      <c r="G474" t="s">
        <v>19</v>
      </c>
      <c r="H474">
        <v>1083.8399999999999</v>
      </c>
      <c r="I474">
        <v>1158.43</v>
      </c>
      <c r="J474" t="s">
        <v>34</v>
      </c>
      <c r="K474" t="s">
        <v>29</v>
      </c>
      <c r="L474">
        <v>48</v>
      </c>
      <c r="M474">
        <v>4</v>
      </c>
      <c r="N474" t="s">
        <v>22</v>
      </c>
    </row>
    <row r="475" spans="1:14" x14ac:dyDescent="0.35">
      <c r="A475" t="s">
        <v>880</v>
      </c>
      <c r="B475" t="s">
        <v>881</v>
      </c>
      <c r="C475">
        <v>2023</v>
      </c>
      <c r="D475" t="s">
        <v>43</v>
      </c>
      <c r="E475" t="s">
        <v>63</v>
      </c>
      <c r="F475" t="s">
        <v>27</v>
      </c>
      <c r="G475" t="s">
        <v>19</v>
      </c>
      <c r="H475">
        <v>1849.98</v>
      </c>
      <c r="I475">
        <v>0</v>
      </c>
      <c r="J475" t="s">
        <v>28</v>
      </c>
      <c r="K475" t="s">
        <v>57</v>
      </c>
      <c r="L475">
        <v>47</v>
      </c>
      <c r="M475">
        <v>12</v>
      </c>
      <c r="N475" t="s">
        <v>30</v>
      </c>
    </row>
    <row r="476" spans="1:14" x14ac:dyDescent="0.35">
      <c r="A476" t="s">
        <v>882</v>
      </c>
      <c r="B476" t="s">
        <v>304</v>
      </c>
      <c r="C476">
        <v>2023</v>
      </c>
      <c r="D476" t="s">
        <v>67</v>
      </c>
      <c r="E476" t="s">
        <v>38</v>
      </c>
      <c r="F476" t="s">
        <v>68</v>
      </c>
      <c r="G476" t="s">
        <v>49</v>
      </c>
      <c r="H476">
        <v>670.37</v>
      </c>
      <c r="I476">
        <v>0</v>
      </c>
      <c r="J476" t="s">
        <v>28</v>
      </c>
      <c r="K476" t="s">
        <v>82</v>
      </c>
      <c r="L476">
        <v>55</v>
      </c>
      <c r="M476">
        <v>1</v>
      </c>
      <c r="N476" t="s">
        <v>30</v>
      </c>
    </row>
    <row r="477" spans="1:14" x14ac:dyDescent="0.35">
      <c r="A477" t="s">
        <v>883</v>
      </c>
      <c r="B477" t="s">
        <v>884</v>
      </c>
      <c r="C477">
        <v>2023</v>
      </c>
      <c r="D477" t="s">
        <v>16</v>
      </c>
      <c r="E477" t="s">
        <v>53</v>
      </c>
      <c r="F477" t="s">
        <v>44</v>
      </c>
      <c r="G477" t="s">
        <v>40</v>
      </c>
      <c r="H477">
        <v>1864.01</v>
      </c>
      <c r="I477">
        <v>1770.5</v>
      </c>
      <c r="J477" t="s">
        <v>34</v>
      </c>
      <c r="K477" t="s">
        <v>64</v>
      </c>
      <c r="L477">
        <v>21</v>
      </c>
      <c r="M477">
        <v>6</v>
      </c>
      <c r="N477" t="s">
        <v>22</v>
      </c>
    </row>
    <row r="478" spans="1:14" x14ac:dyDescent="0.35">
      <c r="A478" t="s">
        <v>885</v>
      </c>
      <c r="B478" t="s">
        <v>886</v>
      </c>
      <c r="C478">
        <v>2023</v>
      </c>
      <c r="D478" t="s">
        <v>60</v>
      </c>
      <c r="E478" t="s">
        <v>53</v>
      </c>
      <c r="F478" t="s">
        <v>27</v>
      </c>
      <c r="G478" t="s">
        <v>40</v>
      </c>
      <c r="H478">
        <v>1889.57</v>
      </c>
      <c r="I478">
        <v>0</v>
      </c>
      <c r="J478" t="s">
        <v>28</v>
      </c>
      <c r="K478" t="s">
        <v>82</v>
      </c>
      <c r="L478">
        <v>52</v>
      </c>
      <c r="M478">
        <v>6</v>
      </c>
      <c r="N478" t="s">
        <v>30</v>
      </c>
    </row>
    <row r="479" spans="1:14" x14ac:dyDescent="0.35">
      <c r="A479" t="s">
        <v>887</v>
      </c>
      <c r="B479" t="s">
        <v>98</v>
      </c>
      <c r="C479">
        <v>2024</v>
      </c>
      <c r="D479" t="s">
        <v>33</v>
      </c>
      <c r="E479" t="s">
        <v>38</v>
      </c>
      <c r="F479" t="s">
        <v>39</v>
      </c>
      <c r="G479" t="s">
        <v>19</v>
      </c>
      <c r="H479">
        <v>1068.3800000000001</v>
      </c>
      <c r="I479">
        <v>1098.8800000000001</v>
      </c>
      <c r="J479" t="s">
        <v>34</v>
      </c>
      <c r="K479" t="s">
        <v>71</v>
      </c>
      <c r="L479">
        <v>66</v>
      </c>
      <c r="M479">
        <v>12</v>
      </c>
      <c r="N479" t="s">
        <v>22</v>
      </c>
    </row>
    <row r="480" spans="1:14" x14ac:dyDescent="0.35">
      <c r="A480" t="s">
        <v>888</v>
      </c>
      <c r="B480" t="s">
        <v>739</v>
      </c>
      <c r="C480">
        <v>2023</v>
      </c>
      <c r="D480" t="s">
        <v>37</v>
      </c>
      <c r="E480" t="s">
        <v>38</v>
      </c>
      <c r="F480" t="s">
        <v>27</v>
      </c>
      <c r="G480" t="s">
        <v>40</v>
      </c>
      <c r="H480">
        <v>723.52</v>
      </c>
      <c r="I480">
        <v>0</v>
      </c>
      <c r="J480" t="s">
        <v>28</v>
      </c>
      <c r="K480" t="s">
        <v>64</v>
      </c>
      <c r="L480">
        <v>43</v>
      </c>
      <c r="M480">
        <v>11</v>
      </c>
      <c r="N480" t="s">
        <v>30</v>
      </c>
    </row>
    <row r="481" spans="1:14" x14ac:dyDescent="0.35">
      <c r="A481" t="s">
        <v>889</v>
      </c>
      <c r="B481" t="s">
        <v>881</v>
      </c>
      <c r="C481">
        <v>2023</v>
      </c>
      <c r="D481" t="s">
        <v>43</v>
      </c>
      <c r="E481" t="s">
        <v>26</v>
      </c>
      <c r="F481" t="s">
        <v>39</v>
      </c>
      <c r="G481" t="s">
        <v>49</v>
      </c>
      <c r="H481">
        <v>2030.33</v>
      </c>
      <c r="I481">
        <v>1645.26</v>
      </c>
      <c r="J481" t="s">
        <v>34</v>
      </c>
      <c r="K481" t="s">
        <v>21</v>
      </c>
      <c r="L481">
        <v>68</v>
      </c>
      <c r="M481">
        <v>10</v>
      </c>
      <c r="N481" t="s">
        <v>22</v>
      </c>
    </row>
    <row r="482" spans="1:14" x14ac:dyDescent="0.35">
      <c r="A482" t="s">
        <v>890</v>
      </c>
      <c r="B482" t="s">
        <v>891</v>
      </c>
      <c r="C482">
        <v>2024</v>
      </c>
      <c r="D482" t="s">
        <v>25</v>
      </c>
      <c r="E482" t="s">
        <v>17</v>
      </c>
      <c r="F482" t="s">
        <v>27</v>
      </c>
      <c r="G482" t="s">
        <v>19</v>
      </c>
      <c r="H482">
        <v>2552.02</v>
      </c>
      <c r="I482">
        <v>3046.71</v>
      </c>
      <c r="J482" t="s">
        <v>34</v>
      </c>
      <c r="K482" t="s">
        <v>77</v>
      </c>
      <c r="L482">
        <v>34</v>
      </c>
      <c r="M482">
        <v>12</v>
      </c>
      <c r="N482" t="s">
        <v>22</v>
      </c>
    </row>
    <row r="483" spans="1:14" x14ac:dyDescent="0.35">
      <c r="A483" t="s">
        <v>892</v>
      </c>
      <c r="B483" t="s">
        <v>664</v>
      </c>
      <c r="C483">
        <v>2024</v>
      </c>
      <c r="D483" t="s">
        <v>48</v>
      </c>
      <c r="E483" t="s">
        <v>17</v>
      </c>
      <c r="F483" t="s">
        <v>18</v>
      </c>
      <c r="G483" t="s">
        <v>19</v>
      </c>
      <c r="H483">
        <v>2384.7399999999998</v>
      </c>
      <c r="I483">
        <v>0</v>
      </c>
      <c r="J483" t="s">
        <v>28</v>
      </c>
      <c r="K483" t="s">
        <v>71</v>
      </c>
      <c r="L483">
        <v>27</v>
      </c>
      <c r="M483">
        <v>3</v>
      </c>
      <c r="N483" t="s">
        <v>30</v>
      </c>
    </row>
    <row r="484" spans="1:14" x14ac:dyDescent="0.35">
      <c r="A484" t="s">
        <v>893</v>
      </c>
      <c r="B484" t="s">
        <v>499</v>
      </c>
      <c r="C484">
        <v>2024</v>
      </c>
      <c r="D484" t="s">
        <v>67</v>
      </c>
      <c r="E484" t="s">
        <v>53</v>
      </c>
      <c r="F484" t="s">
        <v>18</v>
      </c>
      <c r="G484" t="s">
        <v>49</v>
      </c>
      <c r="H484">
        <v>1409.03</v>
      </c>
      <c r="I484">
        <v>0</v>
      </c>
      <c r="J484" t="s">
        <v>28</v>
      </c>
      <c r="K484" t="s">
        <v>77</v>
      </c>
      <c r="L484">
        <v>59</v>
      </c>
      <c r="M484">
        <v>12</v>
      </c>
      <c r="N484" t="s">
        <v>30</v>
      </c>
    </row>
    <row r="485" spans="1:14" x14ac:dyDescent="0.35">
      <c r="A485" t="s">
        <v>894</v>
      </c>
      <c r="B485" t="s">
        <v>36</v>
      </c>
      <c r="C485">
        <v>2023</v>
      </c>
      <c r="D485" t="s">
        <v>37</v>
      </c>
      <c r="E485" t="s">
        <v>38</v>
      </c>
      <c r="F485" t="s">
        <v>39</v>
      </c>
      <c r="G485" t="s">
        <v>40</v>
      </c>
      <c r="H485">
        <v>841.64</v>
      </c>
      <c r="I485">
        <v>0</v>
      </c>
      <c r="J485" t="s">
        <v>28</v>
      </c>
      <c r="K485" t="s">
        <v>21</v>
      </c>
      <c r="L485">
        <v>38</v>
      </c>
      <c r="M485">
        <v>6</v>
      </c>
      <c r="N485" t="s">
        <v>30</v>
      </c>
    </row>
    <row r="486" spans="1:14" x14ac:dyDescent="0.35">
      <c r="A486" t="s">
        <v>895</v>
      </c>
      <c r="B486" t="s">
        <v>896</v>
      </c>
      <c r="C486">
        <v>2024</v>
      </c>
      <c r="D486" t="s">
        <v>33</v>
      </c>
      <c r="E486" t="s">
        <v>38</v>
      </c>
      <c r="F486" t="s">
        <v>27</v>
      </c>
      <c r="G486" t="s">
        <v>40</v>
      </c>
      <c r="H486">
        <v>827.51</v>
      </c>
      <c r="I486">
        <v>0</v>
      </c>
      <c r="J486" t="s">
        <v>28</v>
      </c>
      <c r="K486" t="s">
        <v>71</v>
      </c>
      <c r="L486">
        <v>26</v>
      </c>
      <c r="M486">
        <v>12</v>
      </c>
      <c r="N486" t="s">
        <v>30</v>
      </c>
    </row>
    <row r="487" spans="1:14" x14ac:dyDescent="0.35">
      <c r="A487" t="s">
        <v>897</v>
      </c>
      <c r="B487" t="s">
        <v>654</v>
      </c>
      <c r="C487">
        <v>2023</v>
      </c>
      <c r="D487" t="s">
        <v>48</v>
      </c>
      <c r="E487" t="s">
        <v>53</v>
      </c>
      <c r="F487" t="s">
        <v>44</v>
      </c>
      <c r="G487" t="s">
        <v>19</v>
      </c>
      <c r="H487">
        <v>2443.1999999999998</v>
      </c>
      <c r="I487">
        <v>2568.9899999999998</v>
      </c>
      <c r="J487" t="s">
        <v>34</v>
      </c>
      <c r="K487" t="s">
        <v>82</v>
      </c>
      <c r="L487">
        <v>52</v>
      </c>
      <c r="M487">
        <v>8</v>
      </c>
      <c r="N487" t="s">
        <v>22</v>
      </c>
    </row>
    <row r="488" spans="1:14" x14ac:dyDescent="0.35">
      <c r="A488" t="s">
        <v>898</v>
      </c>
      <c r="B488" t="s">
        <v>899</v>
      </c>
      <c r="C488">
        <v>2024</v>
      </c>
      <c r="D488" t="s">
        <v>33</v>
      </c>
      <c r="E488" t="s">
        <v>17</v>
      </c>
      <c r="F488" t="s">
        <v>27</v>
      </c>
      <c r="G488" t="s">
        <v>49</v>
      </c>
      <c r="H488">
        <v>1693.89</v>
      </c>
      <c r="I488">
        <v>0</v>
      </c>
      <c r="J488" t="s">
        <v>28</v>
      </c>
      <c r="K488" t="s">
        <v>45</v>
      </c>
      <c r="L488">
        <v>25</v>
      </c>
      <c r="M488">
        <v>1</v>
      </c>
      <c r="N488" t="s">
        <v>30</v>
      </c>
    </row>
    <row r="489" spans="1:14" x14ac:dyDescent="0.35">
      <c r="A489" t="s">
        <v>900</v>
      </c>
      <c r="B489" t="s">
        <v>901</v>
      </c>
      <c r="C489">
        <v>2023</v>
      </c>
      <c r="D489" t="s">
        <v>37</v>
      </c>
      <c r="E489" t="s">
        <v>38</v>
      </c>
      <c r="F489" t="s">
        <v>18</v>
      </c>
      <c r="G489" t="s">
        <v>49</v>
      </c>
      <c r="H489">
        <v>643.58000000000004</v>
      </c>
      <c r="I489">
        <v>517.07000000000005</v>
      </c>
      <c r="J489" t="s">
        <v>34</v>
      </c>
      <c r="K489" t="s">
        <v>64</v>
      </c>
      <c r="L489">
        <v>44</v>
      </c>
      <c r="M489">
        <v>10</v>
      </c>
      <c r="N489" t="s">
        <v>22</v>
      </c>
    </row>
    <row r="490" spans="1:14" x14ac:dyDescent="0.35">
      <c r="A490" t="s">
        <v>902</v>
      </c>
      <c r="B490" t="s">
        <v>578</v>
      </c>
      <c r="C490">
        <v>2024</v>
      </c>
      <c r="D490" t="s">
        <v>16</v>
      </c>
      <c r="E490" t="s">
        <v>26</v>
      </c>
      <c r="F490" t="s">
        <v>44</v>
      </c>
      <c r="G490" t="s">
        <v>49</v>
      </c>
      <c r="H490">
        <v>1914.11</v>
      </c>
      <c r="I490">
        <v>0</v>
      </c>
      <c r="J490" t="s">
        <v>28</v>
      </c>
      <c r="K490" t="s">
        <v>57</v>
      </c>
      <c r="L490">
        <v>38</v>
      </c>
      <c r="M490">
        <v>11</v>
      </c>
      <c r="N490" t="s">
        <v>30</v>
      </c>
    </row>
    <row r="491" spans="1:14" x14ac:dyDescent="0.35">
      <c r="A491" t="s">
        <v>903</v>
      </c>
      <c r="B491" t="s">
        <v>731</v>
      </c>
      <c r="C491">
        <v>2023</v>
      </c>
      <c r="D491" t="s">
        <v>37</v>
      </c>
      <c r="E491" t="s">
        <v>63</v>
      </c>
      <c r="F491" t="s">
        <v>39</v>
      </c>
      <c r="G491" t="s">
        <v>19</v>
      </c>
      <c r="H491">
        <v>1993.28</v>
      </c>
      <c r="I491">
        <v>2011.8</v>
      </c>
      <c r="J491" t="s">
        <v>88</v>
      </c>
      <c r="K491" t="s">
        <v>77</v>
      </c>
      <c r="L491">
        <v>53</v>
      </c>
      <c r="M491">
        <v>7</v>
      </c>
      <c r="N491" t="s">
        <v>22</v>
      </c>
    </row>
    <row r="492" spans="1:14" x14ac:dyDescent="0.35">
      <c r="A492" t="s">
        <v>904</v>
      </c>
      <c r="B492" t="s">
        <v>193</v>
      </c>
      <c r="C492">
        <v>2023</v>
      </c>
      <c r="D492" t="s">
        <v>25</v>
      </c>
      <c r="E492" t="s">
        <v>26</v>
      </c>
      <c r="F492" t="s">
        <v>44</v>
      </c>
      <c r="G492" t="s">
        <v>40</v>
      </c>
      <c r="H492">
        <v>2432.4499999999998</v>
      </c>
      <c r="I492">
        <v>0</v>
      </c>
      <c r="J492" t="s">
        <v>28</v>
      </c>
      <c r="K492" t="s">
        <v>21</v>
      </c>
      <c r="L492">
        <v>59</v>
      </c>
      <c r="M492">
        <v>8</v>
      </c>
      <c r="N492" t="s">
        <v>30</v>
      </c>
    </row>
    <row r="493" spans="1:14" x14ac:dyDescent="0.35">
      <c r="A493" t="s">
        <v>905</v>
      </c>
      <c r="B493" t="s">
        <v>906</v>
      </c>
      <c r="C493">
        <v>2024</v>
      </c>
      <c r="D493" t="s">
        <v>85</v>
      </c>
      <c r="E493" t="s">
        <v>38</v>
      </c>
      <c r="F493" t="s">
        <v>68</v>
      </c>
      <c r="G493" t="s">
        <v>19</v>
      </c>
      <c r="H493">
        <v>1012.41</v>
      </c>
      <c r="I493">
        <v>0</v>
      </c>
      <c r="J493" t="s">
        <v>28</v>
      </c>
      <c r="K493" t="s">
        <v>64</v>
      </c>
      <c r="L493">
        <v>60</v>
      </c>
      <c r="M493">
        <v>5</v>
      </c>
      <c r="N493" t="s">
        <v>30</v>
      </c>
    </row>
    <row r="494" spans="1:14" x14ac:dyDescent="0.35">
      <c r="A494" t="s">
        <v>907</v>
      </c>
      <c r="B494" t="s">
        <v>908</v>
      </c>
      <c r="C494">
        <v>2024</v>
      </c>
      <c r="D494" t="s">
        <v>16</v>
      </c>
      <c r="E494" t="s">
        <v>38</v>
      </c>
      <c r="F494" t="s">
        <v>68</v>
      </c>
      <c r="G494" t="s">
        <v>40</v>
      </c>
      <c r="H494">
        <v>764.78</v>
      </c>
      <c r="I494">
        <v>688.5</v>
      </c>
      <c r="J494" t="s">
        <v>20</v>
      </c>
      <c r="K494" t="s">
        <v>64</v>
      </c>
      <c r="L494">
        <v>43</v>
      </c>
      <c r="M494">
        <v>12</v>
      </c>
      <c r="N494" t="s">
        <v>22</v>
      </c>
    </row>
    <row r="495" spans="1:14" x14ac:dyDescent="0.35">
      <c r="A495" t="s">
        <v>909</v>
      </c>
      <c r="B495" t="s">
        <v>910</v>
      </c>
      <c r="C495">
        <v>2023</v>
      </c>
      <c r="D495" t="s">
        <v>37</v>
      </c>
      <c r="E495" t="s">
        <v>63</v>
      </c>
      <c r="F495" t="s">
        <v>68</v>
      </c>
      <c r="G495" t="s">
        <v>19</v>
      </c>
      <c r="H495">
        <v>1758.27</v>
      </c>
      <c r="I495">
        <v>0</v>
      </c>
      <c r="J495" t="s">
        <v>28</v>
      </c>
      <c r="K495" t="s">
        <v>64</v>
      </c>
      <c r="L495">
        <v>49</v>
      </c>
      <c r="M495">
        <v>4</v>
      </c>
      <c r="N495" t="s">
        <v>30</v>
      </c>
    </row>
    <row r="496" spans="1:14" x14ac:dyDescent="0.35">
      <c r="A496" t="s">
        <v>911</v>
      </c>
      <c r="B496" t="s">
        <v>912</v>
      </c>
      <c r="C496">
        <v>2024</v>
      </c>
      <c r="D496" t="s">
        <v>52</v>
      </c>
      <c r="E496" t="s">
        <v>38</v>
      </c>
      <c r="F496" t="s">
        <v>27</v>
      </c>
      <c r="G496" t="s">
        <v>49</v>
      </c>
      <c r="H496">
        <v>625.27</v>
      </c>
      <c r="I496">
        <v>556.91999999999996</v>
      </c>
      <c r="J496" t="s">
        <v>20</v>
      </c>
      <c r="K496" t="s">
        <v>57</v>
      </c>
      <c r="L496">
        <v>34</v>
      </c>
      <c r="M496">
        <v>10</v>
      </c>
      <c r="N496" t="s">
        <v>22</v>
      </c>
    </row>
    <row r="497" spans="1:14" x14ac:dyDescent="0.35">
      <c r="A497" t="s">
        <v>913</v>
      </c>
      <c r="B497" t="s">
        <v>914</v>
      </c>
      <c r="C497">
        <v>2023</v>
      </c>
      <c r="D497" t="s">
        <v>43</v>
      </c>
      <c r="E497" t="s">
        <v>26</v>
      </c>
      <c r="F497" t="s">
        <v>44</v>
      </c>
      <c r="G497" t="s">
        <v>49</v>
      </c>
      <c r="H497">
        <v>2179.7399999999998</v>
      </c>
      <c r="I497">
        <v>0</v>
      </c>
      <c r="J497" t="s">
        <v>28</v>
      </c>
      <c r="K497" t="s">
        <v>29</v>
      </c>
      <c r="L497">
        <v>60</v>
      </c>
      <c r="M497">
        <v>12</v>
      </c>
      <c r="N497" t="s">
        <v>30</v>
      </c>
    </row>
    <row r="498" spans="1:14" x14ac:dyDescent="0.35">
      <c r="A498" t="s">
        <v>915</v>
      </c>
      <c r="B498" t="s">
        <v>916</v>
      </c>
      <c r="C498">
        <v>2023</v>
      </c>
      <c r="D498" t="s">
        <v>56</v>
      </c>
      <c r="E498" t="s">
        <v>53</v>
      </c>
      <c r="F498" t="s">
        <v>44</v>
      </c>
      <c r="G498" t="s">
        <v>19</v>
      </c>
      <c r="H498">
        <v>2147.84</v>
      </c>
      <c r="I498">
        <v>0</v>
      </c>
      <c r="J498" t="s">
        <v>28</v>
      </c>
      <c r="K498" t="s">
        <v>57</v>
      </c>
      <c r="L498">
        <v>53</v>
      </c>
      <c r="M498">
        <v>8</v>
      </c>
      <c r="N498" t="s">
        <v>30</v>
      </c>
    </row>
    <row r="499" spans="1:14" x14ac:dyDescent="0.35">
      <c r="A499" t="s">
        <v>917</v>
      </c>
      <c r="B499" t="s">
        <v>590</v>
      </c>
      <c r="C499">
        <v>2023</v>
      </c>
      <c r="D499" t="s">
        <v>33</v>
      </c>
      <c r="E499" t="s">
        <v>53</v>
      </c>
      <c r="F499" t="s">
        <v>39</v>
      </c>
      <c r="G499" t="s">
        <v>40</v>
      </c>
      <c r="H499">
        <v>1757.85</v>
      </c>
      <c r="I499">
        <v>0</v>
      </c>
      <c r="J499" t="s">
        <v>28</v>
      </c>
      <c r="K499" t="s">
        <v>77</v>
      </c>
      <c r="L499">
        <v>22</v>
      </c>
      <c r="M499">
        <v>4</v>
      </c>
      <c r="N499" t="s">
        <v>30</v>
      </c>
    </row>
    <row r="500" spans="1:14" x14ac:dyDescent="0.35">
      <c r="A500" t="s">
        <v>918</v>
      </c>
      <c r="B500" t="s">
        <v>222</v>
      </c>
      <c r="C500">
        <v>2024</v>
      </c>
      <c r="D500" t="s">
        <v>37</v>
      </c>
      <c r="E500" t="s">
        <v>38</v>
      </c>
      <c r="F500" t="s">
        <v>44</v>
      </c>
      <c r="G500" t="s">
        <v>49</v>
      </c>
      <c r="H500">
        <v>716.83</v>
      </c>
      <c r="I500">
        <v>0</v>
      </c>
      <c r="J500" t="s">
        <v>28</v>
      </c>
      <c r="K500" t="s">
        <v>82</v>
      </c>
      <c r="L500">
        <v>30</v>
      </c>
      <c r="M500">
        <v>10</v>
      </c>
      <c r="N500" t="s">
        <v>30</v>
      </c>
    </row>
    <row r="501" spans="1:14" x14ac:dyDescent="0.35">
      <c r="A501" t="s">
        <v>919</v>
      </c>
      <c r="B501" t="s">
        <v>920</v>
      </c>
      <c r="C501">
        <v>2023</v>
      </c>
      <c r="D501" t="s">
        <v>67</v>
      </c>
      <c r="E501" t="s">
        <v>26</v>
      </c>
      <c r="F501" t="s">
        <v>39</v>
      </c>
      <c r="G501" t="s">
        <v>19</v>
      </c>
      <c r="H501">
        <v>3270.67</v>
      </c>
      <c r="I501">
        <v>3354.35</v>
      </c>
      <c r="J501" t="s">
        <v>34</v>
      </c>
      <c r="K501" t="s">
        <v>71</v>
      </c>
      <c r="L501">
        <v>42</v>
      </c>
      <c r="M501">
        <v>6</v>
      </c>
      <c r="N5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5523-6C86-4CCF-85E3-598C993A1F9B}">
  <sheetPr>
    <pageSetUpPr fitToPage="1"/>
  </sheetPr>
  <dimension ref="A1"/>
  <sheetViews>
    <sheetView tabSelected="1" zoomScale="47" zoomScaleNormal="48" zoomScaleSheetLayoutView="47" zoomScalePageLayoutView="37" workbookViewId="0">
      <selection activeCell="AD31" sqref="AD31"/>
    </sheetView>
  </sheetViews>
  <sheetFormatPr defaultRowHeight="14.5" x14ac:dyDescent="0.35"/>
  <sheetData/>
  <pageMargins left="0.25" right="0.25"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F87203-EA96-4E34-82AE-B220B0D191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insurance_data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PRATHAMESH</dc:creator>
  <cp:lastModifiedBy>P PRATHAMESH</cp:lastModifiedBy>
  <cp:lastPrinted>2026-07-26T16:41:39Z</cp:lastPrinted>
  <dcterms:created xsi:type="dcterms:W3CDTF">2026-07-24T17:12:27Z</dcterms:created>
  <dcterms:modified xsi:type="dcterms:W3CDTF">2026-09-03T09:07:22Z</dcterms:modified>
</cp:coreProperties>
</file>